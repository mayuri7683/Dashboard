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https://d.docs.live.net/47e5e9f41cedf335/Documents/"/>
    </mc:Choice>
  </mc:AlternateContent>
  <xr:revisionPtr revIDLastSave="159" documentId="13_ncr:1000001_{BF594523-DC22-7549-81AF-1DB9777516B1}" xr6:coauthVersionLast="47" xr6:coauthVersionMax="47" xr10:uidLastSave="{C48F6D9E-587C-4917-B7F2-6A814E211367}"/>
  <bookViews>
    <workbookView xWindow="-110" yWindow="-110" windowWidth="19420" windowHeight="10300" xr2:uid="{D056283D-ADE4-4281-A5E5-366BE30AC5ED}"/>
  </bookViews>
  <sheets>
    <sheet name="Sheet2" sheetId="2" r:id="rId1"/>
    <sheet name="Sheet4" sheetId="4" r:id="rId2"/>
    <sheet name="Sheet3" sheetId="3" r:id="rId3"/>
    <sheet name="Sheet6" sheetId="6" r:id="rId4"/>
    <sheet name="Sheet7" sheetId="7" r:id="rId5"/>
    <sheet name="Sheet8" sheetId="8" r:id="rId6"/>
    <sheet name="Sheet9" sheetId="9" r:id="rId7"/>
    <sheet name="Sheet10" sheetId="10" r:id="rId8"/>
    <sheet name="Sheet1" sheetId="1" r:id="rId9"/>
    <sheet name="Sheet11" sheetId="11" r:id="rId10"/>
  </sheets>
  <definedNames>
    <definedName name="Slicer_Above_or_Below_Average">#N/A</definedName>
    <definedName name="Slicer_Distributor">#N/A</definedName>
    <definedName name="Slicer_GENRE">#N/A</definedName>
    <definedName name="Slicer_MOVIE">#N/A</definedName>
  </definedNames>
  <calcPr calcId="191028"/>
  <pivotCaches>
    <pivotCache cacheId="18"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1" l="1"/>
  <c r="M12" i="1"/>
  <c r="L12" i="1"/>
  <c r="K12" i="1"/>
  <c r="J12" i="1"/>
  <c r="I12" i="1"/>
  <c r="H12" i="1"/>
  <c r="G12" i="1"/>
  <c r="F12" i="1"/>
  <c r="E12" i="1"/>
  <c r="D12" i="1"/>
  <c r="N11" i="1"/>
  <c r="M11" i="1"/>
  <c r="L11" i="1"/>
  <c r="K11" i="1"/>
  <c r="J11" i="1"/>
  <c r="I11" i="1"/>
  <c r="H11" i="1"/>
  <c r="G11" i="1"/>
  <c r="F11" i="1"/>
  <c r="E11" i="1"/>
  <c r="D11" i="1"/>
  <c r="N10" i="1"/>
  <c r="M10" i="1"/>
  <c r="L10" i="1"/>
  <c r="K10" i="1"/>
  <c r="J10" i="1"/>
  <c r="I10" i="1"/>
  <c r="H10" i="1"/>
  <c r="G10" i="1"/>
  <c r="F10" i="1"/>
  <c r="E10" i="1"/>
  <c r="D10" i="1"/>
  <c r="N9" i="1"/>
  <c r="M9" i="1"/>
  <c r="L9" i="1"/>
  <c r="K9" i="1"/>
  <c r="J9" i="1"/>
  <c r="I9" i="1"/>
  <c r="H9" i="1"/>
  <c r="G9" i="1"/>
  <c r="F9" i="1"/>
  <c r="E9" i="1"/>
  <c r="D9" i="1"/>
  <c r="N8" i="1"/>
  <c r="M8" i="1"/>
  <c r="L8" i="1"/>
  <c r="K8" i="1"/>
  <c r="J8" i="1"/>
  <c r="I8" i="1"/>
  <c r="H8" i="1"/>
  <c r="G8" i="1"/>
  <c r="F8" i="1"/>
  <c r="E8" i="1"/>
  <c r="D8" i="1"/>
</calcChain>
</file>

<file path=xl/sharedStrings.xml><?xml version="1.0" encoding="utf-8"?>
<sst xmlns="http://schemas.openxmlformats.org/spreadsheetml/2006/main" count="80" uniqueCount="40">
  <si>
    <t>MOVIE</t>
  </si>
  <si>
    <t>Distributor</t>
  </si>
  <si>
    <t>GENRE</t>
  </si>
  <si>
    <t>Totals</t>
  </si>
  <si>
    <t>Average</t>
  </si>
  <si>
    <t>Min</t>
  </si>
  <si>
    <t>Max</t>
  </si>
  <si>
    <t>MoM</t>
  </si>
  <si>
    <t>Above or Below Average</t>
  </si>
  <si>
    <t>Harry Potter and the Deathly Hallows: Part II</t>
  </si>
  <si>
    <t>Warner Bros.</t>
  </si>
  <si>
    <t>Action</t>
  </si>
  <si>
    <t>Above average</t>
  </si>
  <si>
    <t>The Avengers</t>
  </si>
  <si>
    <t>Walt Disney</t>
  </si>
  <si>
    <t>Adventure</t>
  </si>
  <si>
    <t>Iron Man 3</t>
  </si>
  <si>
    <t>Guardians of the Galaxy</t>
  </si>
  <si>
    <t>Below Average</t>
  </si>
  <si>
    <t>Star Wars Ep. VII: The Force Awakens</t>
  </si>
  <si>
    <t>Finding Dory</t>
  </si>
  <si>
    <t>Star Wars Ep. VIII: The Last Jedi</t>
  </si>
  <si>
    <t>Black Panther</t>
  </si>
  <si>
    <t>Avengers: Endgame</t>
  </si>
  <si>
    <t>Bad Boys For Life</t>
  </si>
  <si>
    <t>Sony Pictures</t>
  </si>
  <si>
    <t>Shang-Chi and the Legend of the Ten Rings</t>
  </si>
  <si>
    <t>Values</t>
  </si>
  <si>
    <t>Row Labels</t>
  </si>
  <si>
    <t>Sum of Average</t>
  </si>
  <si>
    <t>Grand Total</t>
  </si>
  <si>
    <t>Sum of Totals</t>
  </si>
  <si>
    <t>Average of Average</t>
  </si>
  <si>
    <t>Average of Jul-21</t>
  </si>
  <si>
    <t>Average of Aug-21</t>
  </si>
  <si>
    <t>Average of Sep-21</t>
  </si>
  <si>
    <t>Average of Jan-22</t>
  </si>
  <si>
    <t>Average of Dec-21</t>
  </si>
  <si>
    <t>Average of Nov-21</t>
  </si>
  <si>
    <t>Average of Oct-21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</si>
</sst>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5">
    <xf numFmtId="0" fontId="0" fillId="0" borderId="0" xfId="0"/>
    <xf numFmtId="17" fontId="0" fillId="0" borderId="1" xfId="0" applyNumberFormat="1" applyBorder="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7"/>
              <c:pt idx="0">
                <c:v>Sum of Jul-21</c:v>
              </c:pt>
              <c:pt idx="1">
                <c:v>Sum of Aug-21</c:v>
              </c:pt>
              <c:pt idx="2">
                <c:v>Sum of Sep-21</c:v>
              </c:pt>
              <c:pt idx="3">
                <c:v>Sum of Dec-21</c:v>
              </c:pt>
              <c:pt idx="4">
                <c:v>Sum of Jan-22</c:v>
              </c:pt>
              <c:pt idx="5">
                <c:v>Sum of Nov-21</c:v>
              </c:pt>
              <c:pt idx="6">
                <c:v>Sum of Oct-21</c:v>
              </c:pt>
            </c:strLit>
          </c:cat>
          <c:val>
            <c:numLit>
              <c:formatCode>General</c:formatCode>
              <c:ptCount val="7"/>
              <c:pt idx="0">
                <c:v>3591536</c:v>
              </c:pt>
              <c:pt idx="1">
                <c:v>3771971</c:v>
              </c:pt>
              <c:pt idx="2">
                <c:v>3682066</c:v>
              </c:pt>
              <c:pt idx="3">
                <c:v>7672806</c:v>
              </c:pt>
              <c:pt idx="4">
                <c:v>4089441</c:v>
              </c:pt>
              <c:pt idx="5">
                <c:v>3776851</c:v>
              </c:pt>
              <c:pt idx="6">
                <c:v>3603521</c:v>
              </c:pt>
            </c:numLit>
          </c:val>
          <c:smooth val="0"/>
          <c:extLst>
            <c:ext xmlns:c16="http://schemas.microsoft.com/office/drawing/2014/chart" uri="{C3380CC4-5D6E-409C-BE32-E72D297353CC}">
              <c16:uniqueId val="{00000000-62EF-446A-AC6C-343D4AAEAC7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69323104"/>
        <c:axId val="369325504"/>
      </c:lineChart>
      <c:catAx>
        <c:axId val="3693231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69325504"/>
        <c:crosses val="autoZero"/>
        <c:auto val="1"/>
        <c:lblAlgn val="ctr"/>
        <c:lblOffset val="100"/>
        <c:noMultiLvlLbl val="0"/>
      </c:catAx>
      <c:valAx>
        <c:axId val="36932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6932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[dashboard2.xlsx]Sheet3!PivotTable3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c:f>
              <c:strCache>
                <c:ptCount val="1"/>
                <c:pt idx="0">
                  <c:v>Grand Total</c:v>
                </c:pt>
              </c:strCache>
            </c:strRef>
          </c:cat>
          <c:val>
            <c:numRef>
              <c:f>Sheet3!$B$4</c:f>
              <c:numCache>
                <c:formatCode>General</c:formatCode>
                <c:ptCount val="1"/>
              </c:numCache>
            </c:numRef>
          </c:val>
          <c:extLst>
            <c:ext xmlns:c16="http://schemas.microsoft.com/office/drawing/2014/chart" uri="{C3380CC4-5D6E-409C-BE32-E72D297353CC}">
              <c16:uniqueId val="{00000000-4108-43B4-8FF5-C969FD339A9E}"/>
            </c:ext>
          </c:extLst>
        </c:ser>
        <c:dLbls>
          <c:dLblPos val="inEnd"/>
          <c:showLegendKey val="0"/>
          <c:showVal val="1"/>
          <c:showCatName val="0"/>
          <c:showSerName val="0"/>
          <c:showPercent val="0"/>
          <c:showBubbleSize val="0"/>
        </c:dLbls>
        <c:gapWidth val="65"/>
        <c:axId val="369318304"/>
        <c:axId val="369320224"/>
      </c:barChart>
      <c:catAx>
        <c:axId val="369318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9320224"/>
        <c:crosses val="autoZero"/>
        <c:auto val="1"/>
        <c:lblAlgn val="ctr"/>
        <c:lblOffset val="100"/>
        <c:noMultiLvlLbl val="0"/>
      </c:catAx>
      <c:valAx>
        <c:axId val="3693202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9318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[dashboard2.xlsx]Sheet4!PivotTable4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995F-438A-8FE1-920288AF6051}"/>
            </c:ext>
          </c:extLst>
        </c:ser>
        <c:dLbls>
          <c:dLblPos val="inEnd"/>
          <c:showLegendKey val="0"/>
          <c:showVal val="1"/>
          <c:showCatName val="0"/>
          <c:showSerName val="0"/>
          <c:showPercent val="0"/>
          <c:showBubbleSize val="0"/>
        </c:dLbls>
        <c:gapWidth val="65"/>
        <c:axId val="369301024"/>
        <c:axId val="369302944"/>
      </c:barChart>
      <c:catAx>
        <c:axId val="369301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9302944"/>
        <c:crosses val="autoZero"/>
        <c:auto val="1"/>
        <c:lblAlgn val="ctr"/>
        <c:lblOffset val="100"/>
        <c:noMultiLvlLbl val="0"/>
      </c:catAx>
      <c:valAx>
        <c:axId val="3693029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9301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[dashboard2.xlsx]Sheet6!PivotTable6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c:f>
              <c:strCache>
                <c:ptCount val="1"/>
                <c:pt idx="0">
                  <c:v>Grand Total</c:v>
                </c:pt>
              </c:strCache>
            </c:strRef>
          </c:cat>
          <c:val>
            <c:numRef>
              <c:f>Sheet6!$B$4</c:f>
              <c:numCache>
                <c:formatCode>General</c:formatCode>
                <c:ptCount val="1"/>
              </c:numCache>
            </c:numRef>
          </c:val>
          <c:extLst>
            <c:ext xmlns:c16="http://schemas.microsoft.com/office/drawing/2014/chart" uri="{C3380CC4-5D6E-409C-BE32-E72D297353CC}">
              <c16:uniqueId val="{00000000-6B87-4E53-B570-514DFDD36B82}"/>
            </c:ext>
          </c:extLst>
        </c:ser>
        <c:dLbls>
          <c:showLegendKey val="0"/>
          <c:showVal val="0"/>
          <c:showCatName val="0"/>
          <c:showSerName val="0"/>
          <c:showPercent val="0"/>
          <c:showBubbleSize val="0"/>
        </c:dLbls>
        <c:gapWidth val="115"/>
        <c:overlap val="-20"/>
        <c:axId val="369305344"/>
        <c:axId val="369307744"/>
      </c:barChart>
      <c:catAx>
        <c:axId val="369305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307744"/>
        <c:crosses val="autoZero"/>
        <c:auto val="1"/>
        <c:lblAlgn val="ctr"/>
        <c:lblOffset val="100"/>
        <c:noMultiLvlLbl val="0"/>
      </c:catAx>
      <c:valAx>
        <c:axId val="3693077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30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[dashboard2.xlsx]Sheet7!PivotTable7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Sheet7!$A$4:$A$10</c:f>
              <c:strCache>
                <c:ptCount val="7"/>
                <c:pt idx="0">
                  <c:v>Average of Jul-21</c:v>
                </c:pt>
                <c:pt idx="1">
                  <c:v>Average of Aug-21</c:v>
                </c:pt>
                <c:pt idx="2">
                  <c:v>Average of Sep-21</c:v>
                </c:pt>
                <c:pt idx="3">
                  <c:v>Average of Jan-22</c:v>
                </c:pt>
                <c:pt idx="4">
                  <c:v>Average of Dec-21</c:v>
                </c:pt>
                <c:pt idx="5">
                  <c:v>Average of Nov-21</c:v>
                </c:pt>
                <c:pt idx="6">
                  <c:v>Average of Oct-21</c:v>
                </c:pt>
              </c:strCache>
            </c:strRef>
          </c:cat>
          <c:val>
            <c:numRef>
              <c:f>Sheet7!$B$4:$B$10</c:f>
              <c:numCache>
                <c:formatCode>General</c:formatCode>
                <c:ptCount val="7"/>
              </c:numCache>
            </c:numRef>
          </c:val>
          <c:extLst>
            <c:ext xmlns:c16="http://schemas.microsoft.com/office/drawing/2014/chart" uri="{C3380CC4-5D6E-409C-BE32-E72D297353CC}">
              <c16:uniqueId val="{00000000-007E-4821-A528-98DDE096EE2D}"/>
            </c:ext>
          </c:extLst>
        </c:ser>
        <c:dLbls>
          <c:dLblPos val="inEnd"/>
          <c:showLegendKey val="0"/>
          <c:showVal val="1"/>
          <c:showCatName val="0"/>
          <c:showSerName val="0"/>
          <c:showPercent val="0"/>
          <c:showBubbleSize val="0"/>
        </c:dLbls>
        <c:gapWidth val="65"/>
        <c:axId val="823013984"/>
        <c:axId val="823017344"/>
      </c:barChart>
      <c:catAx>
        <c:axId val="823013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3017344"/>
        <c:crosses val="autoZero"/>
        <c:auto val="1"/>
        <c:lblAlgn val="ctr"/>
        <c:lblOffset val="100"/>
        <c:noMultiLvlLbl val="0"/>
      </c:catAx>
      <c:valAx>
        <c:axId val="8230173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3013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[dashboard2.xlsx]Sheet8!PivotTable8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Sheet8!$A$4</c:f>
              <c:strCache>
                <c:ptCount val="1"/>
                <c:pt idx="0">
                  <c:v>Grand Total</c:v>
                </c:pt>
              </c:strCache>
            </c:strRef>
          </c:cat>
          <c:val>
            <c:numRef>
              <c:f>Sheet8!$B$4</c:f>
              <c:numCache>
                <c:formatCode>General</c:formatCode>
                <c:ptCount val="1"/>
              </c:numCache>
            </c:numRef>
          </c:val>
          <c:extLst>
            <c:ext xmlns:c16="http://schemas.microsoft.com/office/drawing/2014/chart" uri="{C3380CC4-5D6E-409C-BE32-E72D297353CC}">
              <c16:uniqueId val="{00000000-8325-485F-B044-C68DD7248B68}"/>
            </c:ext>
          </c:extLst>
        </c:ser>
        <c:dLbls>
          <c:dLblPos val="inEnd"/>
          <c:showLegendKey val="0"/>
          <c:showVal val="1"/>
          <c:showCatName val="0"/>
          <c:showSerName val="0"/>
          <c:showPercent val="0"/>
          <c:showBubbleSize val="0"/>
        </c:dLbls>
        <c:gapWidth val="65"/>
        <c:axId val="823013984"/>
        <c:axId val="823017344"/>
      </c:barChart>
      <c:catAx>
        <c:axId val="823013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3017344"/>
        <c:crosses val="autoZero"/>
        <c:auto val="1"/>
        <c:lblAlgn val="ctr"/>
        <c:lblOffset val="100"/>
        <c:noMultiLvlLbl val="0"/>
      </c:catAx>
      <c:valAx>
        <c:axId val="8230173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3013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[dashboard2.xlsx]Sheet9!PivotTable9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Sheet9!$A$4</c:f>
              <c:strCache>
                <c:ptCount val="1"/>
                <c:pt idx="0">
                  <c:v>Grand Total</c:v>
                </c:pt>
              </c:strCache>
            </c:strRef>
          </c:cat>
          <c:val>
            <c:numRef>
              <c:f>Sheet9!$B$4</c:f>
              <c:numCache>
                <c:formatCode>General</c:formatCode>
                <c:ptCount val="1"/>
              </c:numCache>
            </c:numRef>
          </c:val>
          <c:extLst>
            <c:ext xmlns:c16="http://schemas.microsoft.com/office/drawing/2014/chart" uri="{C3380CC4-5D6E-409C-BE32-E72D297353CC}">
              <c16:uniqueId val="{00000000-0510-4E47-8299-F885218D72F5}"/>
            </c:ext>
          </c:extLst>
        </c:ser>
        <c:dLbls>
          <c:dLblPos val="inEnd"/>
          <c:showLegendKey val="0"/>
          <c:showVal val="1"/>
          <c:showCatName val="0"/>
          <c:showSerName val="0"/>
          <c:showPercent val="0"/>
          <c:showBubbleSize val="0"/>
        </c:dLbls>
        <c:gapWidth val="65"/>
        <c:axId val="992473712"/>
        <c:axId val="992451632"/>
      </c:barChart>
      <c:catAx>
        <c:axId val="992473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2451632"/>
        <c:crosses val="autoZero"/>
        <c:auto val="1"/>
        <c:lblAlgn val="ctr"/>
        <c:lblOffset val="100"/>
        <c:noMultiLvlLbl val="0"/>
      </c:catAx>
      <c:valAx>
        <c:axId val="9924516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2473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[dashboard2.xlsx]Sheet10!PivotTable10</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Average of Average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c:f>
              <c:strCache>
                <c:ptCount val="1"/>
                <c:pt idx="0">
                  <c:v>Grand Total</c:v>
                </c:pt>
              </c:strCache>
            </c:strRef>
          </c:cat>
          <c:val>
            <c:numRef>
              <c:f>Sheet10!$B$4</c:f>
              <c:numCache>
                <c:formatCode>General</c:formatCode>
                <c:ptCount val="1"/>
              </c:numCache>
            </c:numRef>
          </c:val>
          <c:extLst>
            <c:ext xmlns:c16="http://schemas.microsoft.com/office/drawing/2014/chart" uri="{C3380CC4-5D6E-409C-BE32-E72D297353CC}">
              <c16:uniqueId val="{00000000-6013-4CCC-8EEC-49CF7BCCE49C}"/>
            </c:ext>
          </c:extLst>
        </c:ser>
        <c:ser>
          <c:idx val="1"/>
          <c:order val="1"/>
          <c:tx>
            <c:strRef>
              <c:f>Sheet10!$C$3</c:f>
              <c:strCache>
                <c:ptCount val="1"/>
                <c:pt idx="0">
                  <c:v>Sum of Totals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c:f>
              <c:strCache>
                <c:ptCount val="1"/>
                <c:pt idx="0">
                  <c:v>Grand Total</c:v>
                </c:pt>
              </c:strCache>
            </c:strRef>
          </c:cat>
          <c:val>
            <c:numRef>
              <c:f>Sheet10!$C$4</c:f>
              <c:numCache>
                <c:formatCode>General</c:formatCode>
                <c:ptCount val="1"/>
              </c:numCache>
            </c:numRef>
          </c:val>
          <c:extLst>
            <c:ext xmlns:c16="http://schemas.microsoft.com/office/drawing/2014/chart" uri="{C3380CC4-5D6E-409C-BE32-E72D297353CC}">
              <c16:uniqueId val="{00000001-6013-4CCC-8EEC-49CF7BCCE49C}"/>
            </c:ext>
          </c:extLst>
        </c:ser>
        <c:dLbls>
          <c:dLblPos val="inEnd"/>
          <c:showLegendKey val="0"/>
          <c:showVal val="1"/>
          <c:showCatName val="0"/>
          <c:showSerName val="0"/>
          <c:showPercent val="0"/>
          <c:showBubbleSize val="0"/>
        </c:dLbls>
        <c:gapWidth val="65"/>
        <c:axId val="992449712"/>
        <c:axId val="992474672"/>
      </c:barChart>
      <c:catAx>
        <c:axId val="992449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2474672"/>
        <c:crosses val="autoZero"/>
        <c:auto val="1"/>
        <c:lblAlgn val="ctr"/>
        <c:lblOffset val="100"/>
        <c:noMultiLvlLbl val="0"/>
      </c:catAx>
      <c:valAx>
        <c:axId val="9924746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2449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947E-4A22-A7D6-BAAD540D7109}"/>
            </c:ext>
          </c:extLst>
        </c:ser>
        <c:dLbls>
          <c:showLegendKey val="0"/>
          <c:showVal val="0"/>
          <c:showCatName val="0"/>
          <c:showSerName val="0"/>
          <c:showPercent val="0"/>
          <c:showBubbleSize val="0"/>
        </c:dLbls>
        <c:gapWidth val="182"/>
        <c:axId val="369301024"/>
        <c:axId val="369302944"/>
      </c:barChart>
      <c:catAx>
        <c:axId val="36930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02944"/>
        <c:crosses val="autoZero"/>
        <c:auto val="1"/>
        <c:lblAlgn val="ctr"/>
        <c:lblOffset val="100"/>
        <c:noMultiLvlLbl val="0"/>
      </c:catAx>
      <c:valAx>
        <c:axId val="36930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0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c:f>
              <c:strCache>
                <c:ptCount val="1"/>
                <c:pt idx="0">
                  <c:v>Grand Total</c:v>
                </c:pt>
              </c:strCache>
            </c:strRef>
          </c:cat>
          <c:val>
            <c:numRef>
              <c:f>Sheet3!$B$4</c:f>
              <c:numCache>
                <c:formatCode>General</c:formatCode>
                <c:ptCount val="1"/>
              </c:numCache>
            </c:numRef>
          </c:val>
          <c:extLst>
            <c:ext xmlns:c16="http://schemas.microsoft.com/office/drawing/2014/chart" uri="{C3380CC4-5D6E-409C-BE32-E72D297353CC}">
              <c16:uniqueId val="{00000000-E14F-4450-B89B-5832B4ED8A90}"/>
            </c:ext>
          </c:extLst>
        </c:ser>
        <c:dLbls>
          <c:showLegendKey val="0"/>
          <c:showVal val="0"/>
          <c:showCatName val="0"/>
          <c:showSerName val="0"/>
          <c:showPercent val="0"/>
          <c:showBubbleSize val="0"/>
        </c:dLbls>
        <c:gapWidth val="182"/>
        <c:axId val="369318304"/>
        <c:axId val="369320224"/>
      </c:barChart>
      <c:catAx>
        <c:axId val="36931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20224"/>
        <c:crosses val="autoZero"/>
        <c:auto val="1"/>
        <c:lblAlgn val="ctr"/>
        <c:lblOffset val="100"/>
        <c:noMultiLvlLbl val="0"/>
      </c:catAx>
      <c:valAx>
        <c:axId val="36932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1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c:f>
              <c:strCache>
                <c:ptCount val="1"/>
                <c:pt idx="0">
                  <c:v>Grand Total</c:v>
                </c:pt>
              </c:strCache>
            </c:strRef>
          </c:cat>
          <c:val>
            <c:numRef>
              <c:f>Sheet6!$B$4</c:f>
              <c:numCache>
                <c:formatCode>General</c:formatCode>
                <c:ptCount val="1"/>
              </c:numCache>
            </c:numRef>
          </c:val>
          <c:extLst>
            <c:ext xmlns:c16="http://schemas.microsoft.com/office/drawing/2014/chart" uri="{C3380CC4-5D6E-409C-BE32-E72D297353CC}">
              <c16:uniqueId val="{00000000-5B7E-406D-A798-377FAAEA30CA}"/>
            </c:ext>
          </c:extLst>
        </c:ser>
        <c:dLbls>
          <c:showLegendKey val="0"/>
          <c:showVal val="0"/>
          <c:showCatName val="0"/>
          <c:showSerName val="0"/>
          <c:showPercent val="0"/>
          <c:showBubbleSize val="0"/>
        </c:dLbls>
        <c:gapWidth val="182"/>
        <c:axId val="369305344"/>
        <c:axId val="369307744"/>
      </c:barChart>
      <c:catAx>
        <c:axId val="36930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07744"/>
        <c:crosses val="autoZero"/>
        <c:auto val="1"/>
        <c:lblAlgn val="ctr"/>
        <c:lblOffset val="100"/>
        <c:noMultiLvlLbl val="0"/>
      </c:catAx>
      <c:valAx>
        <c:axId val="36930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0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[dashboard2.xlsx]Sheet7!PivotTable7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Sheet7!$A$4:$A$10</c:f>
              <c:strCache>
                <c:ptCount val="7"/>
                <c:pt idx="0">
                  <c:v>Average of Jul-21</c:v>
                </c:pt>
                <c:pt idx="1">
                  <c:v>Average of Aug-21</c:v>
                </c:pt>
                <c:pt idx="2">
                  <c:v>Average of Sep-21</c:v>
                </c:pt>
                <c:pt idx="3">
                  <c:v>Average of Jan-22</c:v>
                </c:pt>
                <c:pt idx="4">
                  <c:v>Average of Dec-21</c:v>
                </c:pt>
                <c:pt idx="5">
                  <c:v>Average of Nov-21</c:v>
                </c:pt>
                <c:pt idx="6">
                  <c:v>Average of Oct-21</c:v>
                </c:pt>
              </c:strCache>
            </c:strRef>
          </c:cat>
          <c:val>
            <c:numRef>
              <c:f>Sheet7!$B$4:$B$10</c:f>
              <c:numCache>
                <c:formatCode>General</c:formatCode>
                <c:ptCount val="7"/>
              </c:numCache>
            </c:numRef>
          </c:val>
          <c:extLst>
            <c:ext xmlns:c16="http://schemas.microsoft.com/office/drawing/2014/chart" uri="{C3380CC4-5D6E-409C-BE32-E72D297353CC}">
              <c16:uniqueId val="{00000000-A6AE-410F-BB3F-2228F70B34E6}"/>
            </c:ext>
          </c:extLst>
        </c:ser>
        <c:dLbls>
          <c:showLegendKey val="0"/>
          <c:showVal val="0"/>
          <c:showCatName val="0"/>
          <c:showSerName val="0"/>
          <c:showPercent val="0"/>
          <c:showBubbleSize val="0"/>
        </c:dLbls>
        <c:gapWidth val="182"/>
        <c:axId val="823013984"/>
        <c:axId val="823017344"/>
      </c:barChart>
      <c:catAx>
        <c:axId val="8230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17344"/>
        <c:crosses val="autoZero"/>
        <c:auto val="1"/>
        <c:lblAlgn val="ctr"/>
        <c:lblOffset val="100"/>
        <c:noMultiLvlLbl val="0"/>
      </c:catAx>
      <c:valAx>
        <c:axId val="82301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1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c:f>
              <c:strCache>
                <c:ptCount val="1"/>
                <c:pt idx="0">
                  <c:v>Grand Total</c:v>
                </c:pt>
              </c:strCache>
            </c:strRef>
          </c:cat>
          <c:val>
            <c:numRef>
              <c:f>Sheet8!$B$4</c:f>
              <c:numCache>
                <c:formatCode>General</c:formatCode>
                <c:ptCount val="1"/>
              </c:numCache>
            </c:numRef>
          </c:val>
          <c:extLst>
            <c:ext xmlns:c16="http://schemas.microsoft.com/office/drawing/2014/chart" uri="{C3380CC4-5D6E-409C-BE32-E72D297353CC}">
              <c16:uniqueId val="{00000003-B49C-452D-B8C2-3CEA38D61D95}"/>
            </c:ext>
          </c:extLst>
        </c:ser>
        <c:dLbls>
          <c:showLegendKey val="0"/>
          <c:showVal val="0"/>
          <c:showCatName val="0"/>
          <c:showSerName val="0"/>
          <c:showPercent val="0"/>
          <c:showBubbleSize val="0"/>
        </c:dLbls>
        <c:gapWidth val="182"/>
        <c:axId val="823013984"/>
        <c:axId val="823017344"/>
      </c:barChart>
      <c:catAx>
        <c:axId val="8230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17344"/>
        <c:crosses val="autoZero"/>
        <c:auto val="1"/>
        <c:lblAlgn val="ctr"/>
        <c:lblOffset val="100"/>
        <c:noMultiLvlLbl val="0"/>
      </c:catAx>
      <c:valAx>
        <c:axId val="82301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139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[dashboard2.xlsx]Sheet9!PivotTable9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c:f>
              <c:strCache>
                <c:ptCount val="1"/>
                <c:pt idx="0">
                  <c:v>Grand Total</c:v>
                </c:pt>
              </c:strCache>
            </c:strRef>
          </c:cat>
          <c:val>
            <c:numRef>
              <c:f>Sheet9!$B$4</c:f>
              <c:numCache>
                <c:formatCode>General</c:formatCode>
                <c:ptCount val="1"/>
              </c:numCache>
            </c:numRef>
          </c:val>
          <c:extLst>
            <c:ext xmlns:c16="http://schemas.microsoft.com/office/drawing/2014/chart" uri="{C3380CC4-5D6E-409C-BE32-E72D297353CC}">
              <c16:uniqueId val="{00000000-28AE-495F-B6E5-574D83FF6ABD}"/>
            </c:ext>
          </c:extLst>
        </c:ser>
        <c:dLbls>
          <c:showLegendKey val="0"/>
          <c:showVal val="0"/>
          <c:showCatName val="0"/>
          <c:showSerName val="0"/>
          <c:showPercent val="0"/>
          <c:showBubbleSize val="0"/>
        </c:dLbls>
        <c:gapWidth val="182"/>
        <c:axId val="992473712"/>
        <c:axId val="992451632"/>
      </c:barChart>
      <c:catAx>
        <c:axId val="99247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51632"/>
        <c:crosses val="autoZero"/>
        <c:auto val="1"/>
        <c:lblAlgn val="ctr"/>
        <c:lblOffset val="100"/>
        <c:noMultiLvlLbl val="0"/>
      </c:catAx>
      <c:valAx>
        <c:axId val="99245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7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[dashboard2.xlsx]Sheet10!PivotTable10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Average of Average</c:v>
                </c:pt>
              </c:strCache>
            </c:strRef>
          </c:tx>
          <c:spPr>
            <a:solidFill>
              <a:schemeClr val="accent1"/>
            </a:solidFill>
            <a:ln>
              <a:noFill/>
            </a:ln>
            <a:effectLst/>
          </c:spPr>
          <c:invertIfNegative val="0"/>
          <c:cat>
            <c:strRef>
              <c:f>Sheet10!$A$4</c:f>
              <c:strCache>
                <c:ptCount val="1"/>
                <c:pt idx="0">
                  <c:v>Grand Total</c:v>
                </c:pt>
              </c:strCache>
            </c:strRef>
          </c:cat>
          <c:val>
            <c:numRef>
              <c:f>Sheet10!$B$4</c:f>
              <c:numCache>
                <c:formatCode>General</c:formatCode>
                <c:ptCount val="1"/>
              </c:numCache>
            </c:numRef>
          </c:val>
          <c:extLst>
            <c:ext xmlns:c16="http://schemas.microsoft.com/office/drawing/2014/chart" uri="{C3380CC4-5D6E-409C-BE32-E72D297353CC}">
              <c16:uniqueId val="{00000000-4385-4E64-9679-0E4806F7F6D0}"/>
            </c:ext>
          </c:extLst>
        </c:ser>
        <c:ser>
          <c:idx val="1"/>
          <c:order val="1"/>
          <c:tx>
            <c:strRef>
              <c:f>Sheet10!$C$3</c:f>
              <c:strCache>
                <c:ptCount val="1"/>
                <c:pt idx="0">
                  <c:v>Sum of Totals</c:v>
                </c:pt>
              </c:strCache>
            </c:strRef>
          </c:tx>
          <c:spPr>
            <a:solidFill>
              <a:schemeClr val="accent2"/>
            </a:solidFill>
            <a:ln>
              <a:noFill/>
            </a:ln>
            <a:effectLst/>
          </c:spPr>
          <c:invertIfNegative val="0"/>
          <c:cat>
            <c:strRef>
              <c:f>Sheet10!$A$4</c:f>
              <c:strCache>
                <c:ptCount val="1"/>
                <c:pt idx="0">
                  <c:v>Grand Total</c:v>
                </c:pt>
              </c:strCache>
            </c:strRef>
          </c:cat>
          <c:val>
            <c:numRef>
              <c:f>Sheet10!$C$4</c:f>
              <c:numCache>
                <c:formatCode>General</c:formatCode>
                <c:ptCount val="1"/>
              </c:numCache>
            </c:numRef>
          </c:val>
          <c:extLst>
            <c:ext xmlns:c16="http://schemas.microsoft.com/office/drawing/2014/chart" uri="{C3380CC4-5D6E-409C-BE32-E72D297353CC}">
              <c16:uniqueId val="{00000001-4385-4E64-9679-0E4806F7F6D0}"/>
            </c:ext>
          </c:extLst>
        </c:ser>
        <c:dLbls>
          <c:showLegendKey val="0"/>
          <c:showVal val="0"/>
          <c:showCatName val="0"/>
          <c:showSerName val="0"/>
          <c:showPercent val="0"/>
          <c:showBubbleSize val="0"/>
        </c:dLbls>
        <c:gapWidth val="182"/>
        <c:axId val="992449712"/>
        <c:axId val="992474672"/>
      </c:barChart>
      <c:catAx>
        <c:axId val="99244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74672"/>
        <c:crosses val="autoZero"/>
        <c:auto val="1"/>
        <c:lblAlgn val="ctr"/>
        <c:lblOffset val="100"/>
        <c:noMultiLvlLbl val="0"/>
      </c:catAx>
      <c:valAx>
        <c:axId val="99247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4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[dashboard2.xlsx]Sheet10!PivotTable10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Average of Average</c:v>
                </c:pt>
              </c:strCache>
            </c:strRef>
          </c:tx>
          <c:spPr>
            <a:solidFill>
              <a:schemeClr val="accent1"/>
            </a:solidFill>
            <a:ln>
              <a:noFill/>
            </a:ln>
            <a:effectLst/>
          </c:spPr>
          <c:invertIfNegative val="0"/>
          <c:cat>
            <c:strRef>
              <c:f>Sheet10!$A$4</c:f>
              <c:strCache>
                <c:ptCount val="1"/>
                <c:pt idx="0">
                  <c:v>Grand Total</c:v>
                </c:pt>
              </c:strCache>
            </c:strRef>
          </c:cat>
          <c:val>
            <c:numRef>
              <c:f>Sheet10!$B$4</c:f>
              <c:numCache>
                <c:formatCode>General</c:formatCode>
                <c:ptCount val="1"/>
              </c:numCache>
            </c:numRef>
          </c:val>
          <c:extLst>
            <c:ext xmlns:c16="http://schemas.microsoft.com/office/drawing/2014/chart" uri="{C3380CC4-5D6E-409C-BE32-E72D297353CC}">
              <c16:uniqueId val="{00000000-7E63-40D1-AD2F-7049BB62F91A}"/>
            </c:ext>
          </c:extLst>
        </c:ser>
        <c:ser>
          <c:idx val="1"/>
          <c:order val="1"/>
          <c:tx>
            <c:strRef>
              <c:f>Sheet10!$C$3</c:f>
              <c:strCache>
                <c:ptCount val="1"/>
                <c:pt idx="0">
                  <c:v>Sum of Totals</c:v>
                </c:pt>
              </c:strCache>
            </c:strRef>
          </c:tx>
          <c:spPr>
            <a:solidFill>
              <a:schemeClr val="accent2"/>
            </a:solidFill>
            <a:ln>
              <a:noFill/>
            </a:ln>
            <a:effectLst/>
          </c:spPr>
          <c:invertIfNegative val="0"/>
          <c:cat>
            <c:strRef>
              <c:f>Sheet10!$A$4</c:f>
              <c:strCache>
                <c:ptCount val="1"/>
                <c:pt idx="0">
                  <c:v>Grand Total</c:v>
                </c:pt>
              </c:strCache>
            </c:strRef>
          </c:cat>
          <c:val>
            <c:numRef>
              <c:f>Sheet10!$C$4</c:f>
              <c:numCache>
                <c:formatCode>General</c:formatCode>
                <c:ptCount val="1"/>
              </c:numCache>
            </c:numRef>
          </c:val>
          <c:extLst>
            <c:ext xmlns:c16="http://schemas.microsoft.com/office/drawing/2014/chart" uri="{C3380CC4-5D6E-409C-BE32-E72D297353CC}">
              <c16:uniqueId val="{00000001-7E63-40D1-AD2F-7049BB62F91A}"/>
            </c:ext>
          </c:extLst>
        </c:ser>
        <c:dLbls>
          <c:showLegendKey val="0"/>
          <c:showVal val="0"/>
          <c:showCatName val="0"/>
          <c:showSerName val="0"/>
          <c:showPercent val="0"/>
          <c:showBubbleSize val="0"/>
        </c:dLbls>
        <c:gapWidth val="182"/>
        <c:axId val="992449712"/>
        <c:axId val="992474672"/>
      </c:barChart>
      <c:catAx>
        <c:axId val="99244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74672"/>
        <c:crosses val="autoZero"/>
        <c:auto val="1"/>
        <c:lblAlgn val="ctr"/>
        <c:lblOffset val="100"/>
        <c:noMultiLvlLbl val="0"/>
      </c:catAx>
      <c:valAx>
        <c:axId val="99247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4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222250</xdr:colOff>
      <xdr:row>0</xdr:row>
      <xdr:rowOff>165099</xdr:rowOff>
    </xdr:from>
    <xdr:to>
      <xdr:col>8</xdr:col>
      <xdr:colOff>292100</xdr:colOff>
      <xdr:row>15</xdr:row>
      <xdr:rowOff>98424</xdr:rowOff>
    </xdr:to>
    <xdr:graphicFrame macro="">
      <xdr:nvGraphicFramePr>
        <xdr:cNvPr id="2" name="Chart 1">
          <a:extLst>
            <a:ext uri="{FF2B5EF4-FFF2-40B4-BE49-F238E27FC236}">
              <a16:creationId xmlns:a16="http://schemas.microsoft.com/office/drawing/2014/main" id="{6FF2AA63-C67C-81C7-CDF5-E2CBE556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273050</xdr:colOff>
      <xdr:row>16</xdr:row>
      <xdr:rowOff>69850</xdr:rowOff>
    </xdr:from>
    <xdr:to>
      <xdr:col>8</xdr:col>
      <xdr:colOff>355600</xdr:colOff>
      <xdr:row>31</xdr:row>
      <xdr:rowOff>50800</xdr:rowOff>
    </xdr:to>
    <xdr:graphicFrame macro="">
      <xdr:nvGraphicFramePr>
        <xdr:cNvPr id="3" name="Chart 2">
          <a:extLst>
            <a:ext uri="{FF2B5EF4-FFF2-40B4-BE49-F238E27FC236}">
              <a16:creationId xmlns:a16="http://schemas.microsoft.com/office/drawing/2014/main" id="{00CC50F8-7D2C-4B96-95D5-794140AB7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571499</xdr:colOff>
      <xdr:row>1</xdr:row>
      <xdr:rowOff>137583</xdr:rowOff>
    </xdr:from>
    <xdr:to>
      <xdr:col>16</xdr:col>
      <xdr:colOff>232833</xdr:colOff>
      <xdr:row>17</xdr:row>
      <xdr:rowOff>2117</xdr:rowOff>
    </xdr:to>
    <xdr:graphicFrame macro="">
      <xdr:nvGraphicFramePr>
        <xdr:cNvPr id="4" name="Chart 3">
          <a:extLst>
            <a:ext uri="{FF2B5EF4-FFF2-40B4-BE49-F238E27FC236}">
              <a16:creationId xmlns:a16="http://schemas.microsoft.com/office/drawing/2014/main" id="{C6433351-0E2C-445F-8A2B-0E4158C9A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169333</xdr:colOff>
      <xdr:row>18</xdr:row>
      <xdr:rowOff>52917</xdr:rowOff>
    </xdr:from>
    <xdr:to>
      <xdr:col>15</xdr:col>
      <xdr:colOff>9172</xdr:colOff>
      <xdr:row>33</xdr:row>
      <xdr:rowOff>109009</xdr:rowOff>
    </xdr:to>
    <xdr:graphicFrame macro="">
      <xdr:nvGraphicFramePr>
        <xdr:cNvPr id="5" name="Chart 4">
          <a:extLst>
            <a:ext uri="{FF2B5EF4-FFF2-40B4-BE49-F238E27FC236}">
              <a16:creationId xmlns:a16="http://schemas.microsoft.com/office/drawing/2014/main" id="{C363E628-9F6F-4688-8E81-9013CEB76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476251</xdr:colOff>
      <xdr:row>1</xdr:row>
      <xdr:rowOff>116417</xdr:rowOff>
    </xdr:from>
    <xdr:to>
      <xdr:col>23</xdr:col>
      <xdr:colOff>465667</xdr:colOff>
      <xdr:row>17</xdr:row>
      <xdr:rowOff>155576</xdr:rowOff>
    </xdr:to>
    <xdr:graphicFrame macro="">
      <xdr:nvGraphicFramePr>
        <xdr:cNvPr id="6" name="Chart 5">
          <a:extLst>
            <a:ext uri="{FF2B5EF4-FFF2-40B4-BE49-F238E27FC236}">
              <a16:creationId xmlns:a16="http://schemas.microsoft.com/office/drawing/2014/main" id="{6C05CA74-3288-475F-948C-D3DF24EEA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391583</xdr:colOff>
      <xdr:row>19</xdr:row>
      <xdr:rowOff>0</xdr:rowOff>
    </xdr:from>
    <xdr:to>
      <xdr:col>23</xdr:col>
      <xdr:colOff>52916</xdr:colOff>
      <xdr:row>34</xdr:row>
      <xdr:rowOff>44450</xdr:rowOff>
    </xdr:to>
    <xdr:graphicFrame macro="">
      <xdr:nvGraphicFramePr>
        <xdr:cNvPr id="7" name="Chart 6">
          <a:extLst>
            <a:ext uri="{FF2B5EF4-FFF2-40B4-BE49-F238E27FC236}">
              <a16:creationId xmlns:a16="http://schemas.microsoft.com/office/drawing/2014/main" id="{12B4B8F6-9BA5-4653-8697-8A1270B8C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52917</xdr:colOff>
      <xdr:row>2</xdr:row>
      <xdr:rowOff>169333</xdr:rowOff>
    </xdr:from>
    <xdr:to>
      <xdr:col>31</xdr:col>
      <xdr:colOff>328084</xdr:colOff>
      <xdr:row>18</xdr:row>
      <xdr:rowOff>33866</xdr:rowOff>
    </xdr:to>
    <xdr:graphicFrame macro="">
      <xdr:nvGraphicFramePr>
        <xdr:cNvPr id="8" name="Chart 7">
          <a:extLst>
            <a:ext uri="{FF2B5EF4-FFF2-40B4-BE49-F238E27FC236}">
              <a16:creationId xmlns:a16="http://schemas.microsoft.com/office/drawing/2014/main" id="{37540180-5D10-411F-9621-27FA82ADC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232834</xdr:colOff>
      <xdr:row>19</xdr:row>
      <xdr:rowOff>158750</xdr:rowOff>
    </xdr:from>
    <xdr:to>
      <xdr:col>30</xdr:col>
      <xdr:colOff>508001</xdr:colOff>
      <xdr:row>35</xdr:row>
      <xdr:rowOff>23284</xdr:rowOff>
    </xdr:to>
    <xdr:graphicFrame macro="">
      <xdr:nvGraphicFramePr>
        <xdr:cNvPr id="9" name="Chart 8">
          <a:extLst>
            <a:ext uri="{FF2B5EF4-FFF2-40B4-BE49-F238E27FC236}">
              <a16:creationId xmlns:a16="http://schemas.microsoft.com/office/drawing/2014/main" id="{9AB07654-39D7-4677-B3F6-1A81FBABE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120902</xdr:colOff>
      <xdr:row>2</xdr:row>
      <xdr:rowOff>107781</xdr:rowOff>
    </xdr:from>
    <xdr:to>
      <xdr:col>35</xdr:col>
      <xdr:colOff>97692</xdr:colOff>
      <xdr:row>8</xdr:row>
      <xdr:rowOff>158750</xdr:rowOff>
    </xdr:to>
    <mc:AlternateContent xmlns:mc="http://schemas.openxmlformats.org/markup-compatibility/2006">
      <mc:Choice xmlns:a14="http://schemas.microsoft.com/office/drawing/2010/main" Requires="a14">
        <xdr:graphicFrame macro="">
          <xdr:nvGraphicFramePr>
            <xdr:cNvPr id="10" name="Distributor">
              <a:extLst>
                <a:ext uri="{FF2B5EF4-FFF2-40B4-BE49-F238E27FC236}">
                  <a16:creationId xmlns:a16="http://schemas.microsoft.com/office/drawing/2014/main" id="{6C57B4D5-94CE-35C7-E99E-CC3A4BAD5A63}"/>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dr:sp macro="" textlink="">
          <xdr:nvSpPr>
            <xdr:cNvPr id="0" name=""/>
            <xdr:cNvSpPr>
              <a:spLocks noTextEdit="1"/>
            </xdr:cNvSpPr>
          </xdr:nvSpPr>
          <xdr:spPr>
            <a:xfrm>
              <a:off x="20752629" y="477236"/>
              <a:ext cx="1812518" cy="1159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53686</xdr:colOff>
      <xdr:row>9</xdr:row>
      <xdr:rowOff>115455</xdr:rowOff>
    </xdr:from>
    <xdr:to>
      <xdr:col>35</xdr:col>
      <xdr:colOff>11545</xdr:colOff>
      <xdr:row>14</xdr:row>
      <xdr:rowOff>103909</xdr:rowOff>
    </xdr:to>
    <mc:AlternateContent xmlns:mc="http://schemas.openxmlformats.org/markup-compatibility/2006">
      <mc:Choice xmlns:a14="http://schemas.microsoft.com/office/drawing/2010/main" Requires="a14">
        <xdr:graphicFrame macro="">
          <xdr:nvGraphicFramePr>
            <xdr:cNvPr id="11" name="GENRE">
              <a:extLst>
                <a:ext uri="{FF2B5EF4-FFF2-40B4-BE49-F238E27FC236}">
                  <a16:creationId xmlns:a16="http://schemas.microsoft.com/office/drawing/2014/main" id="{25EDAFF4-0D7D-F15B-679F-D4171B19B5E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20685413" y="1778000"/>
              <a:ext cx="1793587" cy="91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134504</xdr:colOff>
      <xdr:row>15</xdr:row>
      <xdr:rowOff>6351</xdr:rowOff>
    </xdr:from>
    <xdr:to>
      <xdr:col>34</xdr:col>
      <xdr:colOff>588819</xdr:colOff>
      <xdr:row>20</xdr:row>
      <xdr:rowOff>103910</xdr:rowOff>
    </xdr:to>
    <mc:AlternateContent xmlns:mc="http://schemas.openxmlformats.org/markup-compatibility/2006">
      <mc:Choice xmlns:a14="http://schemas.microsoft.com/office/drawing/2010/main" Requires="a14">
        <xdr:graphicFrame macro="">
          <xdr:nvGraphicFramePr>
            <xdr:cNvPr id="12" name="Above or Below Average">
              <a:extLst>
                <a:ext uri="{FF2B5EF4-FFF2-40B4-BE49-F238E27FC236}">
                  <a16:creationId xmlns:a16="http://schemas.microsoft.com/office/drawing/2014/main" id="{0CFE6CC7-B29B-890C-574D-8EB95DD8BCA1}"/>
                </a:ext>
              </a:extLst>
            </xdr:cNvPr>
            <xdr:cNvGraphicFramePr/>
          </xdr:nvGraphicFramePr>
          <xdr:xfrm>
            <a:off x="0" y="0"/>
            <a:ext cx="0" cy="0"/>
          </xdr:xfrm>
          <a:graphic>
            <a:graphicData uri="http://schemas.microsoft.com/office/drawing/2010/slicer">
              <sle:slicer xmlns:sle="http://schemas.microsoft.com/office/drawing/2010/slicer" name="Above or Below Average"/>
            </a:graphicData>
          </a:graphic>
        </xdr:graphicFrame>
      </mc:Choice>
      <mc:Fallback>
        <xdr:sp macro="" textlink="">
          <xdr:nvSpPr>
            <xdr:cNvPr id="0" name=""/>
            <xdr:cNvSpPr>
              <a:spLocks noTextEdit="1"/>
            </xdr:cNvSpPr>
          </xdr:nvSpPr>
          <xdr:spPr>
            <a:xfrm>
              <a:off x="20766231" y="2777260"/>
              <a:ext cx="1678133" cy="102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492414</xdr:colOff>
      <xdr:row>21</xdr:row>
      <xdr:rowOff>80818</xdr:rowOff>
    </xdr:from>
    <xdr:to>
      <xdr:col>34</xdr:col>
      <xdr:colOff>485487</xdr:colOff>
      <xdr:row>35</xdr:row>
      <xdr:rowOff>18761</xdr:rowOff>
    </xdr:to>
    <mc:AlternateContent xmlns:mc="http://schemas.openxmlformats.org/markup-compatibility/2006">
      <mc:Choice xmlns:a14="http://schemas.microsoft.com/office/drawing/2010/main" Requires="a14">
        <xdr:graphicFrame macro="">
          <xdr:nvGraphicFramePr>
            <xdr:cNvPr id="13" name="MOVIE">
              <a:extLst>
                <a:ext uri="{FF2B5EF4-FFF2-40B4-BE49-F238E27FC236}">
                  <a16:creationId xmlns:a16="http://schemas.microsoft.com/office/drawing/2014/main" id="{876D7437-B5BF-4BAC-C749-F2CB0964102C}"/>
                </a:ext>
              </a:extLst>
            </xdr:cNvPr>
            <xdr:cNvGraphicFramePr/>
          </xdr:nvGraphicFramePr>
          <xdr:xfrm>
            <a:off x="0" y="0"/>
            <a:ext cx="0" cy="0"/>
          </xdr:xfrm>
          <a:graphic>
            <a:graphicData uri="http://schemas.microsoft.com/office/drawing/2010/slicer">
              <sle:slicer xmlns:sle="http://schemas.microsoft.com/office/drawing/2010/slicer" name="MOVIE"/>
            </a:graphicData>
          </a:graphic>
        </xdr:graphicFrame>
      </mc:Choice>
      <mc:Fallback>
        <xdr:sp macro="" textlink="">
          <xdr:nvSpPr>
            <xdr:cNvPr id="0" name=""/>
            <xdr:cNvSpPr>
              <a:spLocks noTextEdit="1"/>
            </xdr:cNvSpPr>
          </xdr:nvSpPr>
          <xdr:spPr>
            <a:xfrm>
              <a:off x="20512232" y="3960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2</xdr:row>
      <xdr:rowOff>85725</xdr:rowOff>
    </xdr:from>
    <xdr:to>
      <xdr:col>9</xdr:col>
      <xdr:colOff>508000</xdr:colOff>
      <xdr:row>17</xdr:row>
      <xdr:rowOff>66675</xdr:rowOff>
    </xdr:to>
    <xdr:graphicFrame macro="">
      <xdr:nvGraphicFramePr>
        <xdr:cNvPr id="2" name="Chart 1">
          <a:extLst>
            <a:ext uri="{FF2B5EF4-FFF2-40B4-BE49-F238E27FC236}">
              <a16:creationId xmlns:a16="http://schemas.microsoft.com/office/drawing/2014/main" id="{03C92FDA-E421-8E7B-9747-4942C7457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203200</xdr:colOff>
      <xdr:row>2</xdr:row>
      <xdr:rowOff>85725</xdr:rowOff>
    </xdr:from>
    <xdr:to>
      <xdr:col>9</xdr:col>
      <xdr:colOff>508000</xdr:colOff>
      <xdr:row>17</xdr:row>
      <xdr:rowOff>66675</xdr:rowOff>
    </xdr:to>
    <xdr:graphicFrame macro="">
      <xdr:nvGraphicFramePr>
        <xdr:cNvPr id="2" name="Chart 1">
          <a:extLst>
            <a:ext uri="{FF2B5EF4-FFF2-40B4-BE49-F238E27FC236}">
              <a16:creationId xmlns:a16="http://schemas.microsoft.com/office/drawing/2014/main" id="{D8A3B69D-F81A-475F-679E-264F9CA3E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226483</xdr:colOff>
      <xdr:row>2</xdr:row>
      <xdr:rowOff>56444</xdr:rowOff>
    </xdr:from>
    <xdr:to>
      <xdr:col>9</xdr:col>
      <xdr:colOff>108655</xdr:colOff>
      <xdr:row>17</xdr:row>
      <xdr:rowOff>59619</xdr:rowOff>
    </xdr:to>
    <xdr:graphicFrame macro="">
      <xdr:nvGraphicFramePr>
        <xdr:cNvPr id="2" name="Chart 1">
          <a:extLst>
            <a:ext uri="{FF2B5EF4-FFF2-40B4-BE49-F238E27FC236}">
              <a16:creationId xmlns:a16="http://schemas.microsoft.com/office/drawing/2014/main" id="{0C35561B-46B3-9935-56A0-69C3F639E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1</xdr:row>
      <xdr:rowOff>95250</xdr:rowOff>
    </xdr:from>
    <xdr:to>
      <xdr:col>6</xdr:col>
      <xdr:colOff>82550</xdr:colOff>
      <xdr:row>17</xdr:row>
      <xdr:rowOff>66675</xdr:rowOff>
    </xdr:to>
    <xdr:graphicFrame macro="">
      <xdr:nvGraphicFramePr>
        <xdr:cNvPr id="3" name="Chart 2">
          <a:extLst>
            <a:ext uri="{FF2B5EF4-FFF2-40B4-BE49-F238E27FC236}">
              <a16:creationId xmlns:a16="http://schemas.microsoft.com/office/drawing/2014/main" id="{678BEAB0-CADE-7D99-7CBF-729E54F25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438150</xdr:colOff>
      <xdr:row>1</xdr:row>
      <xdr:rowOff>136525</xdr:rowOff>
    </xdr:from>
    <xdr:to>
      <xdr:col>10</xdr:col>
      <xdr:colOff>133350</xdr:colOff>
      <xdr:row>16</xdr:row>
      <xdr:rowOff>117475</xdr:rowOff>
    </xdr:to>
    <xdr:graphicFrame macro="">
      <xdr:nvGraphicFramePr>
        <xdr:cNvPr id="2" name="Chart 1">
          <a:extLst>
            <a:ext uri="{FF2B5EF4-FFF2-40B4-BE49-F238E27FC236}">
              <a16:creationId xmlns:a16="http://schemas.microsoft.com/office/drawing/2014/main" id="{1E131CB0-6960-DC28-5446-983A6EBC3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82550</xdr:colOff>
      <xdr:row>2</xdr:row>
      <xdr:rowOff>85725</xdr:rowOff>
    </xdr:from>
    <xdr:to>
      <xdr:col>9</xdr:col>
      <xdr:colOff>387350</xdr:colOff>
      <xdr:row>17</xdr:row>
      <xdr:rowOff>66675</xdr:rowOff>
    </xdr:to>
    <xdr:graphicFrame macro="">
      <xdr:nvGraphicFramePr>
        <xdr:cNvPr id="2" name="Chart 1">
          <a:extLst>
            <a:ext uri="{FF2B5EF4-FFF2-40B4-BE49-F238E27FC236}">
              <a16:creationId xmlns:a16="http://schemas.microsoft.com/office/drawing/2014/main" id="{BA030B5A-8C0E-C54C-371D-C1899A40B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400050</xdr:colOff>
      <xdr:row>1</xdr:row>
      <xdr:rowOff>168275</xdr:rowOff>
    </xdr:from>
    <xdr:to>
      <xdr:col>14</xdr:col>
      <xdr:colOff>95250</xdr:colOff>
      <xdr:row>16</xdr:row>
      <xdr:rowOff>149225</xdr:rowOff>
    </xdr:to>
    <xdr:graphicFrame macro="">
      <xdr:nvGraphicFramePr>
        <xdr:cNvPr id="2" name="Chart 1">
          <a:extLst>
            <a:ext uri="{FF2B5EF4-FFF2-40B4-BE49-F238E27FC236}">
              <a16:creationId xmlns:a16="http://schemas.microsoft.com/office/drawing/2014/main" id="{BA89923C-F7E8-E632-FDEB-F45EFA2ED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D13814ED-E9E4-4831-A4D3-6589D8CD8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ya" refreshedDate="45623.599858333335" createdVersion="8" refreshedVersion="8" minRefreshableVersion="3" recordCount="11" xr:uid="{DE6D9C86-C75D-4A32-A880-7F6353563D9A}">
  <cacheSource type="worksheet">
    <worksheetSource ref="A1:P12" sheet="Sheet1"/>
  </cacheSource>
  <cacheFields count="16">
    <cacheField name="MOVIE" numFmtId="0">
      <sharedItems count="11">
        <s v="Harry Potter and the Deathly Hallows: Part II"/>
        <s v="The Avengers"/>
        <s v="Iron Man 3"/>
        <s v="Guardians of the Galaxy"/>
        <s v="Star Wars Ep. VII: The Force Awakens"/>
        <s v="Finding Dory"/>
        <s v="Star Wars Ep. VIII: The Last Jedi"/>
        <s v="Black Panther"/>
        <s v="Avengers: Endgame"/>
        <s v="Bad Boys For Life"/>
        <s v="Shang-Chi and the Legend of the Ten Rings"/>
      </sharedItems>
    </cacheField>
    <cacheField name="Distributor" numFmtId="0">
      <sharedItems count="3">
        <s v="Warner Bros."/>
        <s v="Walt Disney"/>
        <s v="Sony Pictures"/>
      </sharedItems>
    </cacheField>
    <cacheField name="GENRE" numFmtId="0">
      <sharedItems count="2">
        <s v="Action"/>
        <s v="Adventure"/>
      </sharedItems>
    </cacheField>
    <cacheField name="Jul-21" numFmtId="0">
      <sharedItems containsSemiMixedTypes="0" containsString="0" containsNumber="1" containsInteger="1" minValue="5746" maxValue="908851"/>
    </cacheField>
    <cacheField name="Aug-21" numFmtId="0">
      <sharedItems containsSemiMixedTypes="0" containsString="0" containsNumber="1" containsInteger="1" minValue="5816" maxValue="953741"/>
    </cacheField>
    <cacheField name="Sep-21" numFmtId="0">
      <sharedItems containsSemiMixedTypes="0" containsString="0" containsNumber="1" containsInteger="1" minValue="5836" maxValue="924366"/>
    </cacheField>
    <cacheField name="Oct-21" numFmtId="0">
      <sharedItems containsSemiMixedTypes="0" containsString="0" containsNumber="1" containsInteger="1" minValue="4582" maxValue="907576"/>
    </cacheField>
    <cacheField name="Nov-21" numFmtId="0">
      <sharedItems containsSemiMixedTypes="0" containsString="0" containsNumber="1" containsInteger="1" minValue="4412" maxValue="945771"/>
    </cacheField>
    <cacheField name="Dec-21" numFmtId="0">
      <sharedItems containsSemiMixedTypes="0" containsString="0" containsNumber="1" containsInteger="1" minValue="-4262" maxValue="1928656"/>
    </cacheField>
    <cacheField name="Jan-22" numFmtId="0">
      <sharedItems containsSemiMixedTypes="0" containsString="0" containsNumber="1" containsInteger="1" minValue="662" maxValue="1023031"/>
    </cacheField>
    <cacheField name="Totals" numFmtId="0">
      <sharedItems containsSemiMixedTypes="0" containsString="0" containsNumber="1" containsInteger="1" minValue="44797" maxValue="7591992"/>
    </cacheField>
    <cacheField name="Average" numFmtId="0">
      <sharedItems containsSemiMixedTypes="0" containsString="0" containsNumber="1" minValue="6399.5714285714284" maxValue="1084570.2857142857"/>
    </cacheField>
    <cacheField name="Min" numFmtId="0">
      <sharedItems containsSemiMixedTypes="0" containsString="0" containsNumber="1" containsInteger="1" minValue="-5230" maxValue="907576"/>
    </cacheField>
    <cacheField name="Max" numFmtId="0">
      <sharedItems containsSemiMixedTypes="0" containsString="0" containsNumber="1" containsInteger="1" minValue="10066" maxValue="1928656"/>
    </cacheField>
    <cacheField name="MoM" numFmtId="0">
      <sharedItems containsSemiMixedTypes="0" containsString="0" containsNumber="1" minValue="-0.49047717434747562" maxValue="-0.34963631035804099"/>
    </cacheField>
    <cacheField name="Above or Below Average" numFmtId="0">
      <sharedItems count="2">
        <s v="Above average"/>
        <s v="Below Average"/>
      </sharedItems>
    </cacheField>
  </cacheFields>
  <extLst>
    <ext xmlns:x14="http://schemas.microsoft.com/office/spreadsheetml/2009/9/main" uri="{725AE2AE-9491-48be-B2B4-4EB974FC3084}">
      <x14:pivotCacheDefinition pivotCacheId="1092575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n v="908851"/>
    <n v="953741"/>
    <n v="924366"/>
    <n v="907576"/>
    <n v="945771"/>
    <n v="1928656"/>
    <n v="1023031"/>
    <n v="7591992"/>
    <n v="1084570.2857142857"/>
    <n v="907576"/>
    <n v="1928656"/>
    <n v="-0.46956274213753002"/>
    <x v="0"/>
  </r>
  <r>
    <x v="1"/>
    <x v="1"/>
    <x v="1"/>
    <n v="544951"/>
    <n v="576636"/>
    <n v="564851"/>
    <n v="516416"/>
    <n v="558496"/>
    <n v="1139066"/>
    <n v="606996"/>
    <n v="4507412"/>
    <n v="643916"/>
    <n v="516416"/>
    <n v="1139066"/>
    <n v="-0.46711077321243899"/>
    <x v="0"/>
  </r>
  <r>
    <x v="2"/>
    <x v="1"/>
    <x v="1"/>
    <n v="259311"/>
    <n v="263611"/>
    <n v="263801"/>
    <n v="279256"/>
    <n v="283426"/>
    <n v="590476"/>
    <n v="300861"/>
    <n v="2240742"/>
    <n v="320106"/>
    <n v="259311"/>
    <n v="590476"/>
    <n v="-0.49047717434747562"/>
    <x v="0"/>
  </r>
  <r>
    <x v="3"/>
    <x v="1"/>
    <x v="1"/>
    <n v="81641"/>
    <n v="86581"/>
    <n v="78091"/>
    <n v="92076"/>
    <n v="94381"/>
    <n v="187256"/>
    <n v="111241"/>
    <n v="731267"/>
    <n v="104466.71428571429"/>
    <n v="78091"/>
    <n v="187256"/>
    <n v="-0.40594159866706536"/>
    <x v="1"/>
  </r>
  <r>
    <x v="4"/>
    <x v="1"/>
    <x v="0"/>
    <n v="14506"/>
    <n v="18876"/>
    <n v="8641"/>
    <n v="5236"/>
    <n v="5066"/>
    <n v="2286"/>
    <n v="1316"/>
    <n v="55927"/>
    <n v="7989.5714285714284"/>
    <n v="1316"/>
    <n v="18876"/>
    <n v="-0.42432195975503062"/>
    <x v="1"/>
  </r>
  <r>
    <x v="5"/>
    <x v="1"/>
    <x v="0"/>
    <n v="5746"/>
    <n v="5816"/>
    <n v="5836"/>
    <n v="5671"/>
    <n v="5841"/>
    <n v="10066"/>
    <n v="5821"/>
    <n v="44797"/>
    <n v="6399.5714285714284"/>
    <n v="5671"/>
    <n v="10066"/>
    <n v="-0.42171666997814428"/>
    <x v="1"/>
  </r>
  <r>
    <x v="6"/>
    <x v="1"/>
    <x v="0"/>
    <n v="902305"/>
    <n v="947194"/>
    <n v="923712"/>
    <n v="906922"/>
    <n v="945117"/>
    <n v="1922108"/>
    <n v="1022377"/>
    <n v="7591338"/>
    <n v="1083916.2857142857"/>
    <n v="901030"/>
    <n v="1928002"/>
    <n v="-0.40130858199799102"/>
    <x v="0"/>
  </r>
  <r>
    <x v="7"/>
    <x v="1"/>
    <x v="0"/>
    <n v="538405"/>
    <n v="570089"/>
    <n v="564197"/>
    <n v="515762"/>
    <n v="557842"/>
    <n v="1132518"/>
    <n v="606342"/>
    <n v="4506758"/>
    <n v="643262"/>
    <n v="509870"/>
    <n v="1138412"/>
    <n v="-0.38839051408800401"/>
    <x v="0"/>
  </r>
  <r>
    <x v="8"/>
    <x v="1"/>
    <x v="0"/>
    <n v="252765"/>
    <n v="257064"/>
    <n v="263147"/>
    <n v="278602"/>
    <n v="282772"/>
    <n v="583928"/>
    <n v="300207"/>
    <n v="2240088"/>
    <n v="319452"/>
    <n v="252765"/>
    <n v="589822"/>
    <n v="-0.37547244617801601"/>
    <x v="0"/>
  </r>
  <r>
    <x v="9"/>
    <x v="2"/>
    <x v="1"/>
    <n v="75095"/>
    <n v="80034"/>
    <n v="77437"/>
    <n v="91422"/>
    <n v="93727"/>
    <n v="180708"/>
    <n v="110587"/>
    <n v="730613"/>
    <n v="103812.71428571429"/>
    <n v="71545"/>
    <n v="186602"/>
    <n v="-0.362554378268028"/>
    <x v="1"/>
  </r>
  <r>
    <x v="10"/>
    <x v="1"/>
    <x v="1"/>
    <n v="7960"/>
    <n v="12329"/>
    <n v="7987"/>
    <n v="4582"/>
    <n v="4412"/>
    <n v="-4262"/>
    <n v="662"/>
    <n v="55273"/>
    <n v="7335.5714285714284"/>
    <n v="-5230"/>
    <n v="18222"/>
    <n v="-0.349636310358040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D8D01-FCFB-4ED4-93C9-DAECF368C970}"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1" firstDataRow="1" firstDataCol="1"/>
  <pivotFields count="16">
    <pivotField showAll="0">
      <items count="12">
        <item h="1" x="8"/>
        <item h="1" x="9"/>
        <item h="1" x="7"/>
        <item h="1" x="5"/>
        <item x="3"/>
        <item h="1" x="0"/>
        <item h="1" x="2"/>
        <item h="1" x="10"/>
        <item h="1" x="4"/>
        <item h="1" x="6"/>
        <item h="1" x="1"/>
        <item t="default"/>
      </items>
    </pivotField>
    <pivotField showAll="0">
      <items count="4">
        <item h="1" x="2"/>
        <item h="1" x="1"/>
        <item x="0"/>
        <item t="default"/>
      </items>
    </pivotField>
    <pivotField axis="axisRow" showAll="0">
      <items count="3">
        <item x="0"/>
        <item h="1"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s>
  <rowFields count="1">
    <field x="2"/>
  </rowFields>
  <rowItems count="1">
    <i t="grand">
      <x/>
    </i>
  </rowItems>
  <colItems count="1">
    <i/>
  </colItems>
  <dataFields count="1">
    <dataField name="Sum of Total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3D614-757E-4EB4-B295-B6B6ABC13E71}"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 firstHeaderRow="1" firstDataRow="1" firstDataCol="1"/>
  <pivotFields count="16">
    <pivotField showAll="0">
      <items count="12">
        <item h="1" x="8"/>
        <item h="1" x="9"/>
        <item h="1" x="7"/>
        <item h="1" x="5"/>
        <item x="3"/>
        <item h="1" x="0"/>
        <item h="1" x="2"/>
        <item h="1" x="10"/>
        <item h="1" x="4"/>
        <item h="1" x="6"/>
        <item h="1" x="1"/>
        <item t="default"/>
      </items>
    </pivotField>
    <pivotField axis="axisRow" showAll="0">
      <items count="4">
        <item h="1" x="2"/>
        <item h="1" x="1"/>
        <item x="0"/>
        <item t="default"/>
      </items>
    </pivotField>
    <pivotField showAll="0">
      <items count="3">
        <item x="0"/>
        <item h="1"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s>
  <rowFields count="1">
    <field x="1"/>
  </rowFields>
  <rowItems count="1">
    <i t="grand">
      <x/>
    </i>
  </rowItems>
  <colItems count="1">
    <i/>
  </colItems>
  <dataFields count="1">
    <dataField name="Sum of Total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94482-6C53-4D2D-9FE8-E0D50E2F2846}"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 firstHeaderRow="1" firstDataRow="1" firstDataCol="1"/>
  <pivotFields count="16">
    <pivotField axis="axisRow" showAll="0">
      <items count="12">
        <item h="1" x="8"/>
        <item h="1" x="9"/>
        <item h="1" x="7"/>
        <item h="1" x="5"/>
        <item x="3"/>
        <item h="1" x="0"/>
        <item h="1" x="2"/>
        <item h="1" x="10"/>
        <item h="1" x="4"/>
        <item h="1" x="6"/>
        <item h="1" x="1"/>
        <item t="default"/>
      </items>
    </pivotField>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s>
  <rowFields count="1">
    <field x="0"/>
  </rowFields>
  <rowItems count="1">
    <i t="grand">
      <x/>
    </i>
  </rowItems>
  <colItems count="1">
    <i/>
  </colItems>
  <dataFields count="1">
    <dataField name="Average of Average" fld="1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69F15-C213-4529-A9FF-99EC5BCC84B4}" name="PivotTable7" cacheId="1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items count="12">
        <item h="1" x="8"/>
        <item h="1" x="9"/>
        <item h="1" x="7"/>
        <item h="1" x="5"/>
        <item x="3"/>
        <item h="1" x="0"/>
        <item h="1" x="2"/>
        <item h="1" x="10"/>
        <item h="1" x="4"/>
        <item h="1" x="6"/>
        <item h="1" x="1"/>
        <item t="default"/>
      </items>
    </pivotField>
    <pivotField showAll="0">
      <items count="4">
        <item h="1" x="2"/>
        <item h="1" x="1"/>
        <item x="0"/>
        <item t="default"/>
      </items>
    </pivotField>
    <pivotField showAll="0">
      <items count="3">
        <item x="0"/>
        <item h="1" x="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items count="3">
        <item x="0"/>
        <item x="1"/>
        <item t="default"/>
      </items>
    </pivotField>
  </pivotFields>
  <rowFields count="1">
    <field x="-2"/>
  </rowFields>
  <rowItems count="7">
    <i>
      <x/>
    </i>
    <i i="1">
      <x v="1"/>
    </i>
    <i i="2">
      <x v="2"/>
    </i>
    <i i="3">
      <x v="3"/>
    </i>
    <i i="4">
      <x v="4"/>
    </i>
    <i i="5">
      <x v="5"/>
    </i>
    <i i="6">
      <x v="6"/>
    </i>
  </rowItems>
  <colItems count="1">
    <i/>
  </colItems>
  <dataFields count="7">
    <dataField name="Average of Jul-21" fld="3" subtotal="average" baseField="0" baseItem="1"/>
    <dataField name="Average of Aug-21" fld="4" subtotal="average" baseField="0" baseItem="1"/>
    <dataField name="Average of Sep-21" fld="5" subtotal="average" baseField="0" baseItem="1"/>
    <dataField name="Average of Jan-22" fld="9" subtotal="average" baseField="0" baseItem="1"/>
    <dataField name="Average of Dec-21" fld="8" subtotal="average" baseField="0" baseItem="1"/>
    <dataField name="Average of Nov-21" fld="7" subtotal="average" baseField="0" baseItem="1"/>
    <dataField name="Average of Oct-21" fld="6" subtotal="average" baseField="0"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E30598-C575-404C-9965-08E2720F2278}"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 firstHeaderRow="1" firstDataRow="1" firstDataCol="1"/>
  <pivotFields count="16">
    <pivotField showAll="0">
      <items count="12">
        <item h="1" x="8"/>
        <item h="1" x="9"/>
        <item h="1" x="7"/>
        <item h="1" x="5"/>
        <item x="3"/>
        <item h="1" x="0"/>
        <item h="1" x="2"/>
        <item h="1" x="10"/>
        <item h="1" x="4"/>
        <item h="1" x="6"/>
        <item h="1" x="1"/>
        <item t="default"/>
      </items>
    </pivotField>
    <pivotField axis="axisRow" showAll="0">
      <items count="4">
        <item h="1" x="2"/>
        <item h="1" x="1"/>
        <item x="0"/>
        <item t="default"/>
      </items>
    </pivotField>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s>
  <rowFields count="1">
    <field x="1"/>
  </rowFields>
  <rowItems count="1">
    <i t="grand">
      <x/>
    </i>
  </rowItems>
  <colItems count="1">
    <i/>
  </colItems>
  <dataFields count="1">
    <dataField name="Average of Average" fld="11" subtotal="average" baseField="1"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435E24-DE3E-4736-8711-9EB712F06AD1}"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 firstHeaderRow="1" firstDataRow="1" firstDataCol="1"/>
  <pivotFields count="16">
    <pivotField showAll="0">
      <items count="12">
        <item h="1" x="8"/>
        <item h="1" x="9"/>
        <item h="1" x="7"/>
        <item h="1" x="5"/>
        <item x="3"/>
        <item h="1" x="0"/>
        <item h="1" x="2"/>
        <item h="1" x="10"/>
        <item h="1" x="4"/>
        <item h="1" x="6"/>
        <item h="1" x="1"/>
        <item t="default"/>
      </items>
    </pivotField>
    <pivotField showAll="0">
      <items count="4">
        <item h="1" x="2"/>
        <item h="1" x="1"/>
        <item x="0"/>
        <item t="default"/>
      </items>
    </pivotField>
    <pivotField axis="axisRow"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s>
  <rowFields count="1">
    <field x="2"/>
  </rowFields>
  <rowItems count="1">
    <i t="grand">
      <x/>
    </i>
  </rowItems>
  <colItems count="1">
    <i/>
  </colItems>
  <dataFields count="1">
    <dataField name="Sum of Averag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AD449B-D872-4EFC-B82C-EA5057E90838}"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4" firstHeaderRow="0" firstDataRow="1" firstDataCol="1"/>
  <pivotFields count="16">
    <pivotField axis="axisRow" showAll="0">
      <items count="12">
        <item h="1" x="8"/>
        <item h="1" x="9"/>
        <item h="1" x="7"/>
        <item h="1" x="5"/>
        <item x="3"/>
        <item h="1" x="0"/>
        <item h="1" x="2"/>
        <item h="1" x="10"/>
        <item h="1" x="4"/>
        <item h="1" x="6"/>
        <item h="1" x="1"/>
        <item t="default"/>
      </items>
    </pivotField>
    <pivotField showAll="0">
      <items count="4">
        <item h="1" x="2"/>
        <item h="1" x="1"/>
        <item x="0"/>
        <item t="default"/>
      </items>
    </pivotField>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3">
        <item x="0"/>
        <item x="1"/>
        <item t="default"/>
      </items>
    </pivotField>
  </pivotFields>
  <rowFields count="1">
    <field x="0"/>
  </rowFields>
  <rowItems count="1">
    <i t="grand">
      <x/>
    </i>
  </rowItems>
  <colFields count="1">
    <field x="-2"/>
  </colFields>
  <colItems count="2">
    <i>
      <x/>
    </i>
    <i i="1">
      <x v="1"/>
    </i>
  </colItems>
  <dataFields count="2">
    <dataField name="Average of Average" fld="11" subtotal="average" baseField="0" baseItem="0"/>
    <dataField name="Sum of Totals" fld="1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7CA7DDA2-C7AE-4F57-B32D-7ADB9501589E}" sourceName="Distributor">
  <pivotTables>
    <pivotTable tabId="4" name="PivotTable4"/>
    <pivotTable tabId="10" name="PivotTable10"/>
    <pivotTable tabId="3" name="PivotTable3"/>
    <pivotTable tabId="7" name="PivotTable7"/>
    <pivotTable tabId="8" name="PivotTable8"/>
    <pivotTable tabId="9" name="PivotTable9"/>
  </pivotTables>
  <data>
    <tabular pivotCacheId="1092575453">
      <items count="3">
        <i x="2" nd="1"/>
        <i x="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CDE11AAD-936E-4A92-BC08-67A674B6C8D5}" sourceName="GENRE">
  <pivotTables>
    <pivotTable tabId="4" name="PivotTable4"/>
    <pivotTable tabId="10" name="PivotTable10"/>
    <pivotTable tabId="3" name="PivotTable3"/>
    <pivotTable tabId="6" name="PivotTable6"/>
    <pivotTable tabId="7" name="PivotTable7"/>
    <pivotTable tabId="8" name="PivotTable8"/>
    <pivotTable tabId="9" name="PivotTable9"/>
  </pivotTables>
  <data>
    <tabular pivotCacheId="1092575453">
      <items count="2">
        <i x="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ove_or_Below_Average" xr10:uid="{0F8ACAB6-02B9-45E9-A12E-45E5FE4037E8}" sourceName="Above or Below Average">
  <pivotTables>
    <pivotTable tabId="7" name="PivotTable7"/>
    <pivotTable tabId="10" name="PivotTable10"/>
    <pivotTable tabId="3" name="PivotTable3"/>
    <pivotTable tabId="4" name="PivotTable4"/>
    <pivotTable tabId="6" name="PivotTable6"/>
    <pivotTable tabId="8" name="PivotTable8"/>
    <pivotTable tabId="9" name="PivotTable9"/>
  </pivotTables>
  <data>
    <tabular pivotCacheId="1092575453">
      <items count="2">
        <i x="0"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 xr10:uid="{08C9BCD6-31A2-4E98-8891-2264202800FA}" sourceName="MOVIE">
  <pivotTables>
    <pivotTable tabId="7" name="PivotTable7"/>
    <pivotTable tabId="10" name="PivotTable10"/>
    <pivotTable tabId="3" name="PivotTable3"/>
    <pivotTable tabId="4" name="PivotTable4"/>
    <pivotTable tabId="6" name="PivotTable6"/>
    <pivotTable tabId="8" name="PivotTable8"/>
    <pivotTable tabId="9" name="PivotTable9"/>
  </pivotTables>
  <data>
    <tabular pivotCacheId="1092575453">
      <items count="11">
        <i x="8"/>
        <i x="7"/>
        <i x="5"/>
        <i x="0"/>
        <i x="4"/>
        <i x="6"/>
        <i x="9" nd="1"/>
        <i x="3" s="1" nd="1"/>
        <i x="2" nd="1"/>
        <i x="1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 xr10:uid="{55E4B0FC-BE06-44C5-BCE7-11B359A3F3D2}" cache="Slicer_Distributor" caption="Distributor" style="SlicerStyleLight2" rowHeight="241300"/>
  <slicer name="GENRE" xr10:uid="{DE9098A5-415B-4D3C-A597-CE7B5E681359}" cache="Slicer_GENRE" caption="GENRE" style="SlicerStyleLight4" rowHeight="241300"/>
  <slicer name="Above or Below Average" xr10:uid="{61123D28-7AF8-431E-A760-DFE9F93EDE87}" cache="Slicer_Above_or_Below_Average" caption="Above or Below Average" style="SlicerStyleLight6" rowHeight="241300"/>
  <slicer name="MOVIE" xr10:uid="{B572C4CD-95F6-4F02-B732-5BF20851E664}" cache="Slicer_MOVIE" caption="MOVI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0A4C-34A0-4329-BD30-413BD3098621}">
  <dimension ref="A1"/>
  <sheetViews>
    <sheetView tabSelected="1" topLeftCell="D1" zoomScale="55" zoomScaleNormal="60" workbookViewId="0">
      <selection activeCell="AJ8" sqref="AJ8"/>
    </sheetView>
  </sheetViews>
  <sheetFormatPr defaultRowHeight="14.5" x14ac:dyDescent="0.35"/>
  <cols>
    <col min="1" max="1" width="13.08984375" bestFit="1" customWidth="1"/>
    <col min="2" max="2" width="7.81640625" bestFit="1" customWidth="1"/>
    <col min="3" max="3" width="12.7265625" bestFit="1" customWidth="1"/>
    <col min="4" max="4" width="12.90625" bestFit="1" customWidth="1"/>
    <col min="5" max="5" width="12.4531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E64D-DC2F-4FC3-92F3-15263B96C1B4}">
  <dimension ref="A3:B4"/>
  <sheetViews>
    <sheetView workbookViewId="0">
      <selection activeCell="A3" sqref="A3"/>
    </sheetView>
  </sheetViews>
  <sheetFormatPr defaultRowHeight="14.5" x14ac:dyDescent="0.35"/>
  <cols>
    <col min="1" max="1" width="12.36328125" bestFit="1" customWidth="1"/>
    <col min="2" max="2" width="12.1796875" bestFit="1" customWidth="1"/>
  </cols>
  <sheetData>
    <row r="3" spans="1:2" x14ac:dyDescent="0.35">
      <c r="A3" s="3" t="s">
        <v>28</v>
      </c>
      <c r="B3" t="s">
        <v>31</v>
      </c>
    </row>
    <row r="4" spans="1:2" x14ac:dyDescent="0.35">
      <c r="A4" s="4" t="s">
        <v>30</v>
      </c>
      <c r="B4" s="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590CF-521F-4602-85C1-20223F0E995E}">
  <dimension ref="A3:B4"/>
  <sheetViews>
    <sheetView workbookViewId="0">
      <selection activeCell="A3" sqref="A3"/>
    </sheetView>
  </sheetViews>
  <sheetFormatPr defaultRowHeight="14.5" x14ac:dyDescent="0.35"/>
  <cols>
    <col min="1" max="1" width="12.36328125" bestFit="1" customWidth="1"/>
    <col min="2" max="2" width="12.1796875" bestFit="1" customWidth="1"/>
  </cols>
  <sheetData>
    <row r="3" spans="1:2" x14ac:dyDescent="0.35">
      <c r="A3" s="3" t="s">
        <v>28</v>
      </c>
      <c r="B3" t="s">
        <v>31</v>
      </c>
    </row>
    <row r="4" spans="1:2" x14ac:dyDescent="0.35">
      <c r="A4" s="4" t="s">
        <v>30</v>
      </c>
      <c r="B4"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A9B7-62A9-412F-8B71-0CCF57153E7C}">
  <dimension ref="A3:B4"/>
  <sheetViews>
    <sheetView topLeftCell="B2" zoomScale="45" zoomScaleNormal="45" workbookViewId="0">
      <selection activeCell="A3" sqref="A3"/>
    </sheetView>
  </sheetViews>
  <sheetFormatPr defaultRowHeight="14.5" x14ac:dyDescent="0.35"/>
  <cols>
    <col min="1" max="1" width="19.453125" bestFit="1" customWidth="1"/>
    <col min="2" max="2" width="24.08984375" bestFit="1" customWidth="1"/>
  </cols>
  <sheetData>
    <row r="3" spans="1:2" x14ac:dyDescent="0.35">
      <c r="A3" s="3" t="s">
        <v>28</v>
      </c>
      <c r="B3" t="s">
        <v>32</v>
      </c>
    </row>
    <row r="4" spans="1:2" x14ac:dyDescent="0.35">
      <c r="A4" s="4" t="s">
        <v>30</v>
      </c>
      <c r="B4" s="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9826-6940-46BA-8DCC-94F643099DC1}">
  <dimension ref="A3:B10"/>
  <sheetViews>
    <sheetView workbookViewId="0">
      <selection activeCell="A3" sqref="A3"/>
    </sheetView>
  </sheetViews>
  <sheetFormatPr defaultRowHeight="14.5" x14ac:dyDescent="0.35"/>
  <cols>
    <col min="1" max="1" width="16.1796875" bestFit="1" customWidth="1"/>
    <col min="2" max="2" width="5.81640625" bestFit="1" customWidth="1"/>
    <col min="3" max="3" width="15.90625" bestFit="1" customWidth="1"/>
    <col min="4" max="4" width="15.6328125" bestFit="1" customWidth="1"/>
    <col min="5" max="5" width="16" bestFit="1" customWidth="1"/>
    <col min="6" max="6" width="16.1796875" bestFit="1" customWidth="1"/>
    <col min="7" max="7" width="15.81640625" bestFit="1" customWidth="1"/>
  </cols>
  <sheetData>
    <row r="3" spans="1:2" x14ac:dyDescent="0.35">
      <c r="A3" s="3" t="s">
        <v>27</v>
      </c>
    </row>
    <row r="4" spans="1:2" x14ac:dyDescent="0.35">
      <c r="A4" s="4" t="s">
        <v>33</v>
      </c>
      <c r="B4" s="2"/>
    </row>
    <row r="5" spans="1:2" x14ac:dyDescent="0.35">
      <c r="A5" s="4" t="s">
        <v>34</v>
      </c>
      <c r="B5" s="2"/>
    </row>
    <row r="6" spans="1:2" x14ac:dyDescent="0.35">
      <c r="A6" s="4" t="s">
        <v>35</v>
      </c>
      <c r="B6" s="2"/>
    </row>
    <row r="7" spans="1:2" x14ac:dyDescent="0.35">
      <c r="A7" s="4" t="s">
        <v>36</v>
      </c>
      <c r="B7" s="2"/>
    </row>
    <row r="8" spans="1:2" x14ac:dyDescent="0.35">
      <c r="A8" s="4" t="s">
        <v>37</v>
      </c>
      <c r="B8" s="2"/>
    </row>
    <row r="9" spans="1:2" x14ac:dyDescent="0.35">
      <c r="A9" s="4" t="s">
        <v>38</v>
      </c>
      <c r="B9" s="2"/>
    </row>
    <row r="10" spans="1:2" x14ac:dyDescent="0.35">
      <c r="A10" s="4" t="s">
        <v>39</v>
      </c>
      <c r="B10"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E118-24D8-4698-8CF6-D0409FACF758}">
  <dimension ref="A3:B4"/>
  <sheetViews>
    <sheetView workbookViewId="0">
      <selection activeCell="A3" sqref="A3"/>
    </sheetView>
  </sheetViews>
  <sheetFormatPr defaultRowHeight="14.5" x14ac:dyDescent="0.35"/>
  <cols>
    <col min="1" max="1" width="12.36328125" bestFit="1" customWidth="1"/>
    <col min="2" max="2" width="17.08984375" bestFit="1" customWidth="1"/>
  </cols>
  <sheetData>
    <row r="3" spans="1:2" x14ac:dyDescent="0.35">
      <c r="A3" s="3" t="s">
        <v>28</v>
      </c>
      <c r="B3" t="s">
        <v>32</v>
      </c>
    </row>
    <row r="4" spans="1:2" x14ac:dyDescent="0.35">
      <c r="A4" s="4" t="s">
        <v>30</v>
      </c>
      <c r="B4" s="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31E6-EF13-4599-9E5C-1325335ECEBD}">
  <dimension ref="A3:B4"/>
  <sheetViews>
    <sheetView workbookViewId="0">
      <selection activeCell="A3" sqref="A3"/>
    </sheetView>
  </sheetViews>
  <sheetFormatPr defaultRowHeight="14.5" x14ac:dyDescent="0.35"/>
  <cols>
    <col min="1" max="1" width="12.36328125" bestFit="1" customWidth="1"/>
    <col min="2" max="2" width="13.90625" bestFit="1" customWidth="1"/>
  </cols>
  <sheetData>
    <row r="3" spans="1:2" x14ac:dyDescent="0.35">
      <c r="A3" s="3" t="s">
        <v>28</v>
      </c>
      <c r="B3" t="s">
        <v>29</v>
      </c>
    </row>
    <row r="4" spans="1:2" x14ac:dyDescent="0.35">
      <c r="A4" s="4" t="s">
        <v>30</v>
      </c>
      <c r="B4" s="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11D6-3521-4C52-8CFB-2F8CF9057DA2}">
  <dimension ref="A3:C4"/>
  <sheetViews>
    <sheetView topLeftCell="B1" workbookViewId="0">
      <selection activeCell="A3" sqref="A3"/>
    </sheetView>
  </sheetViews>
  <sheetFormatPr defaultRowHeight="14.5" x14ac:dyDescent="0.35"/>
  <cols>
    <col min="1" max="1" width="12.36328125" bestFit="1" customWidth="1"/>
    <col min="2" max="2" width="17.08984375" bestFit="1" customWidth="1"/>
    <col min="3" max="3" width="12.1796875" bestFit="1" customWidth="1"/>
  </cols>
  <sheetData>
    <row r="3" spans="1:3" x14ac:dyDescent="0.35">
      <c r="A3" s="3" t="s">
        <v>28</v>
      </c>
      <c r="B3" t="s">
        <v>32</v>
      </c>
      <c r="C3" t="s">
        <v>31</v>
      </c>
    </row>
    <row r="4" spans="1:3" x14ac:dyDescent="0.35">
      <c r="A4" s="4" t="s">
        <v>30</v>
      </c>
      <c r="B4" s="2"/>
      <c r="C4" s="2"/>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CFA4-1541-4E11-93DC-0C97310A69DD}">
  <dimension ref="A1:P12"/>
  <sheetViews>
    <sheetView workbookViewId="0">
      <selection activeCell="E9" sqref="E9"/>
    </sheetView>
  </sheetViews>
  <sheetFormatPr defaultRowHeight="14.5" x14ac:dyDescent="0.35"/>
  <cols>
    <col min="1" max="17" width="19.6328125" customWidth="1"/>
  </cols>
  <sheetData>
    <row r="1" spans="1:16" x14ac:dyDescent="0.35">
      <c r="A1" t="s">
        <v>0</v>
      </c>
      <c r="B1" t="s">
        <v>1</v>
      </c>
      <c r="C1" t="s">
        <v>2</v>
      </c>
      <c r="D1" s="1">
        <v>44378</v>
      </c>
      <c r="E1" s="1">
        <v>44409</v>
      </c>
      <c r="F1" s="1">
        <v>44440</v>
      </c>
      <c r="G1" s="1">
        <v>44470</v>
      </c>
      <c r="H1" s="1">
        <v>44501</v>
      </c>
      <c r="I1" s="1">
        <v>44531</v>
      </c>
      <c r="J1" s="1">
        <v>44562</v>
      </c>
      <c r="K1" t="s">
        <v>3</v>
      </c>
      <c r="L1" t="s">
        <v>4</v>
      </c>
      <c r="M1" t="s">
        <v>5</v>
      </c>
      <c r="N1" t="s">
        <v>6</v>
      </c>
      <c r="O1" t="s">
        <v>7</v>
      </c>
      <c r="P1" t="s">
        <v>8</v>
      </c>
    </row>
    <row r="2" spans="1:16" x14ac:dyDescent="0.35">
      <c r="A2" t="s">
        <v>9</v>
      </c>
      <c r="B2" t="s">
        <v>10</v>
      </c>
      <c r="C2" t="s">
        <v>11</v>
      </c>
      <c r="D2">
        <v>908851</v>
      </c>
      <c r="E2">
        <v>953741</v>
      </c>
      <c r="F2">
        <v>924366</v>
      </c>
      <c r="G2">
        <v>907576</v>
      </c>
      <c r="H2">
        <v>945771</v>
      </c>
      <c r="I2">
        <v>1928656</v>
      </c>
      <c r="J2">
        <v>1023031</v>
      </c>
      <c r="K2">
        <v>7591992</v>
      </c>
      <c r="L2">
        <v>1084570.2857142857</v>
      </c>
      <c r="M2">
        <v>907576</v>
      </c>
      <c r="N2">
        <v>1928656</v>
      </c>
      <c r="O2">
        <v>-0.46956274213753002</v>
      </c>
      <c r="P2" t="s">
        <v>12</v>
      </c>
    </row>
    <row r="3" spans="1:16" x14ac:dyDescent="0.35">
      <c r="A3" t="s">
        <v>13</v>
      </c>
      <c r="B3" t="s">
        <v>14</v>
      </c>
      <c r="C3" t="s">
        <v>15</v>
      </c>
      <c r="D3">
        <v>544951</v>
      </c>
      <c r="E3">
        <v>576636</v>
      </c>
      <c r="F3">
        <v>564851</v>
      </c>
      <c r="G3">
        <v>516416</v>
      </c>
      <c r="H3">
        <v>558496</v>
      </c>
      <c r="I3">
        <v>1139066</v>
      </c>
      <c r="J3">
        <v>606996</v>
      </c>
      <c r="K3">
        <v>4507412</v>
      </c>
      <c r="L3">
        <v>643916</v>
      </c>
      <c r="M3">
        <v>516416</v>
      </c>
      <c r="N3">
        <v>1139066</v>
      </c>
      <c r="O3">
        <v>-0.46711077321243899</v>
      </c>
      <c r="P3" t="s">
        <v>12</v>
      </c>
    </row>
    <row r="4" spans="1:16" x14ac:dyDescent="0.35">
      <c r="A4" t="s">
        <v>16</v>
      </c>
      <c r="B4" t="s">
        <v>14</v>
      </c>
      <c r="C4" t="s">
        <v>15</v>
      </c>
      <c r="D4">
        <v>259311</v>
      </c>
      <c r="E4">
        <v>263611</v>
      </c>
      <c r="F4">
        <v>263801</v>
      </c>
      <c r="G4">
        <v>279256</v>
      </c>
      <c r="H4">
        <v>283426</v>
      </c>
      <c r="I4">
        <v>590476</v>
      </c>
      <c r="J4">
        <v>300861</v>
      </c>
      <c r="K4">
        <v>2240742</v>
      </c>
      <c r="L4">
        <v>320106</v>
      </c>
      <c r="M4">
        <v>259311</v>
      </c>
      <c r="N4">
        <v>590476</v>
      </c>
      <c r="O4">
        <v>-0.49047717434747562</v>
      </c>
      <c r="P4" t="s">
        <v>12</v>
      </c>
    </row>
    <row r="5" spans="1:16" x14ac:dyDescent="0.35">
      <c r="A5" t="s">
        <v>17</v>
      </c>
      <c r="B5" t="s">
        <v>14</v>
      </c>
      <c r="C5" t="s">
        <v>15</v>
      </c>
      <c r="D5">
        <v>81641</v>
      </c>
      <c r="E5">
        <v>86581</v>
      </c>
      <c r="F5">
        <v>78091</v>
      </c>
      <c r="G5">
        <v>92076</v>
      </c>
      <c r="H5">
        <v>94381</v>
      </c>
      <c r="I5">
        <v>187256</v>
      </c>
      <c r="J5">
        <v>111241</v>
      </c>
      <c r="K5">
        <v>731267</v>
      </c>
      <c r="L5">
        <v>104466.71428571429</v>
      </c>
      <c r="M5">
        <v>78091</v>
      </c>
      <c r="N5">
        <v>187256</v>
      </c>
      <c r="O5">
        <v>-0.40594159866706536</v>
      </c>
      <c r="P5" t="s">
        <v>18</v>
      </c>
    </row>
    <row r="6" spans="1:16" x14ac:dyDescent="0.35">
      <c r="A6" t="s">
        <v>19</v>
      </c>
      <c r="B6" t="s">
        <v>14</v>
      </c>
      <c r="C6" t="s">
        <v>11</v>
      </c>
      <c r="D6">
        <v>14506</v>
      </c>
      <c r="E6">
        <v>18876</v>
      </c>
      <c r="F6">
        <v>8641</v>
      </c>
      <c r="G6">
        <v>5236</v>
      </c>
      <c r="H6">
        <v>5066</v>
      </c>
      <c r="I6">
        <v>2286</v>
      </c>
      <c r="J6">
        <v>1316</v>
      </c>
      <c r="K6">
        <v>55927</v>
      </c>
      <c r="L6">
        <v>7989.5714285714284</v>
      </c>
      <c r="M6">
        <v>1316</v>
      </c>
      <c r="N6">
        <v>18876</v>
      </c>
      <c r="O6">
        <v>-0.42432195975503062</v>
      </c>
      <c r="P6" t="s">
        <v>18</v>
      </c>
    </row>
    <row r="7" spans="1:16" x14ac:dyDescent="0.35">
      <c r="A7" t="s">
        <v>20</v>
      </c>
      <c r="B7" t="s">
        <v>14</v>
      </c>
      <c r="C7" t="s">
        <v>11</v>
      </c>
      <c r="D7">
        <v>5746</v>
      </c>
      <c r="E7">
        <v>5816</v>
      </c>
      <c r="F7">
        <v>5836</v>
      </c>
      <c r="G7">
        <v>5671</v>
      </c>
      <c r="H7">
        <v>5841</v>
      </c>
      <c r="I7">
        <v>10066</v>
      </c>
      <c r="J7">
        <v>5821</v>
      </c>
      <c r="K7">
        <v>44797</v>
      </c>
      <c r="L7">
        <v>6399.5714285714284</v>
      </c>
      <c r="M7">
        <v>5671</v>
      </c>
      <c r="N7">
        <v>10066</v>
      </c>
      <c r="O7">
        <v>-0.42171666997814428</v>
      </c>
      <c r="P7" t="s">
        <v>18</v>
      </c>
    </row>
    <row r="8" spans="1:16" x14ac:dyDescent="0.35">
      <c r="A8" t="s">
        <v>21</v>
      </c>
      <c r="B8" t="s">
        <v>14</v>
      </c>
      <c r="C8" t="s">
        <v>11</v>
      </c>
      <c r="D8">
        <f>D2-6546</f>
        <v>902305</v>
      </c>
      <c r="E8">
        <f>E2-6547</f>
        <v>947194</v>
      </c>
      <c r="F8">
        <f t="shared" ref="F8:N12" si="0">F2-654</f>
        <v>923712</v>
      </c>
      <c r="G8">
        <f t="shared" si="0"/>
        <v>906922</v>
      </c>
      <c r="H8">
        <f t="shared" si="0"/>
        <v>945117</v>
      </c>
      <c r="I8">
        <f>I2-6548</f>
        <v>1922108</v>
      </c>
      <c r="J8">
        <f t="shared" si="0"/>
        <v>1022377</v>
      </c>
      <c r="K8">
        <f t="shared" si="0"/>
        <v>7591338</v>
      </c>
      <c r="L8">
        <f t="shared" si="0"/>
        <v>1083916.2857142857</v>
      </c>
      <c r="M8">
        <f>M2-6546</f>
        <v>901030</v>
      </c>
      <c r="N8">
        <f t="shared" si="0"/>
        <v>1928002</v>
      </c>
      <c r="O8">
        <v>-0.40130858199799102</v>
      </c>
      <c r="P8" t="s">
        <v>12</v>
      </c>
    </row>
    <row r="9" spans="1:16" x14ac:dyDescent="0.35">
      <c r="A9" t="s">
        <v>22</v>
      </c>
      <c r="B9" t="s">
        <v>14</v>
      </c>
      <c r="C9" t="s">
        <v>11</v>
      </c>
      <c r="D9">
        <f t="shared" ref="D9:D12" si="1">D3-6546</f>
        <v>538405</v>
      </c>
      <c r="E9">
        <f t="shared" ref="E9:E12" si="2">E3-6547</f>
        <v>570089</v>
      </c>
      <c r="F9">
        <f t="shared" si="0"/>
        <v>564197</v>
      </c>
      <c r="G9">
        <f t="shared" si="0"/>
        <v>515762</v>
      </c>
      <c r="H9">
        <f t="shared" si="0"/>
        <v>557842</v>
      </c>
      <c r="I9">
        <f t="shared" ref="I9:I12" si="3">I3-6548</f>
        <v>1132518</v>
      </c>
      <c r="J9">
        <f t="shared" si="0"/>
        <v>606342</v>
      </c>
      <c r="K9">
        <f t="shared" si="0"/>
        <v>4506758</v>
      </c>
      <c r="L9">
        <f t="shared" si="0"/>
        <v>643262</v>
      </c>
      <c r="M9">
        <f t="shared" ref="M9:M12" si="4">M3-6546</f>
        <v>509870</v>
      </c>
      <c r="N9">
        <f t="shared" si="0"/>
        <v>1138412</v>
      </c>
      <c r="O9">
        <v>-0.38839051408800401</v>
      </c>
      <c r="P9" t="s">
        <v>12</v>
      </c>
    </row>
    <row r="10" spans="1:16" x14ac:dyDescent="0.35">
      <c r="A10" t="s">
        <v>23</v>
      </c>
      <c r="B10" t="s">
        <v>14</v>
      </c>
      <c r="C10" t="s">
        <v>11</v>
      </c>
      <c r="D10">
        <f t="shared" si="1"/>
        <v>252765</v>
      </c>
      <c r="E10">
        <f t="shared" si="2"/>
        <v>257064</v>
      </c>
      <c r="F10">
        <f t="shared" si="0"/>
        <v>263147</v>
      </c>
      <c r="G10">
        <f t="shared" si="0"/>
        <v>278602</v>
      </c>
      <c r="H10">
        <f t="shared" si="0"/>
        <v>282772</v>
      </c>
      <c r="I10">
        <f t="shared" si="3"/>
        <v>583928</v>
      </c>
      <c r="J10">
        <f t="shared" si="0"/>
        <v>300207</v>
      </c>
      <c r="K10">
        <f t="shared" si="0"/>
        <v>2240088</v>
      </c>
      <c r="L10">
        <f t="shared" si="0"/>
        <v>319452</v>
      </c>
      <c r="M10">
        <f t="shared" si="4"/>
        <v>252765</v>
      </c>
      <c r="N10">
        <f t="shared" si="0"/>
        <v>589822</v>
      </c>
      <c r="O10">
        <v>-0.37547244617801601</v>
      </c>
      <c r="P10" t="s">
        <v>12</v>
      </c>
    </row>
    <row r="11" spans="1:16" x14ac:dyDescent="0.35">
      <c r="A11" t="s">
        <v>24</v>
      </c>
      <c r="B11" t="s">
        <v>25</v>
      </c>
      <c r="C11" t="s">
        <v>15</v>
      </c>
      <c r="D11">
        <f t="shared" si="1"/>
        <v>75095</v>
      </c>
      <c r="E11">
        <f t="shared" si="2"/>
        <v>80034</v>
      </c>
      <c r="F11">
        <f t="shared" si="0"/>
        <v>77437</v>
      </c>
      <c r="G11">
        <f t="shared" si="0"/>
        <v>91422</v>
      </c>
      <c r="H11">
        <f t="shared" si="0"/>
        <v>93727</v>
      </c>
      <c r="I11">
        <f t="shared" si="3"/>
        <v>180708</v>
      </c>
      <c r="J11">
        <f t="shared" si="0"/>
        <v>110587</v>
      </c>
      <c r="K11">
        <f t="shared" si="0"/>
        <v>730613</v>
      </c>
      <c r="L11">
        <f t="shared" si="0"/>
        <v>103812.71428571429</v>
      </c>
      <c r="M11">
        <f t="shared" si="4"/>
        <v>71545</v>
      </c>
      <c r="N11">
        <f t="shared" si="0"/>
        <v>186602</v>
      </c>
      <c r="O11">
        <v>-0.362554378268028</v>
      </c>
      <c r="P11" t="s">
        <v>18</v>
      </c>
    </row>
    <row r="12" spans="1:16" x14ac:dyDescent="0.35">
      <c r="A12" t="s">
        <v>26</v>
      </c>
      <c r="B12" t="s">
        <v>14</v>
      </c>
      <c r="C12" t="s">
        <v>15</v>
      </c>
      <c r="D12">
        <f t="shared" si="1"/>
        <v>7960</v>
      </c>
      <c r="E12">
        <f t="shared" si="2"/>
        <v>12329</v>
      </c>
      <c r="F12">
        <f t="shared" si="0"/>
        <v>7987</v>
      </c>
      <c r="G12">
        <f t="shared" si="0"/>
        <v>4582</v>
      </c>
      <c r="H12">
        <f t="shared" si="0"/>
        <v>4412</v>
      </c>
      <c r="I12">
        <f t="shared" si="3"/>
        <v>-4262</v>
      </c>
      <c r="J12">
        <f t="shared" si="0"/>
        <v>662</v>
      </c>
      <c r="K12">
        <f t="shared" si="0"/>
        <v>55273</v>
      </c>
      <c r="L12">
        <f t="shared" si="0"/>
        <v>7335.5714285714284</v>
      </c>
      <c r="M12">
        <f t="shared" si="4"/>
        <v>-5230</v>
      </c>
      <c r="N12">
        <f t="shared" si="0"/>
        <v>18222</v>
      </c>
      <c r="O12">
        <v>-0.34963631035804099</v>
      </c>
      <c r="P12" t="s">
        <v>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66A9-BAAA-4D69-AB58-B7A9B034458F}">
  <dimension ref="A1"/>
  <sheetViews>
    <sheetView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Sheet4</vt:lpstr>
      <vt:lpstr>Sheet3</vt:lpstr>
      <vt:lpstr>Sheet6</vt:lpstr>
      <vt:lpstr>Sheet7</vt:lpstr>
      <vt:lpstr>Sheet8</vt:lpstr>
      <vt:lpstr>Sheet9</vt:lpstr>
      <vt:lpstr>Sheet10</vt:lpstr>
      <vt:lpstr>Sheet1</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Srivastava</dc:creator>
  <cp:lastModifiedBy>Lakshya Jajoria</cp:lastModifiedBy>
  <dcterms:created xsi:type="dcterms:W3CDTF">2024-11-27T08:45:59Z</dcterms:created>
  <dcterms:modified xsi:type="dcterms:W3CDTF">2024-11-27T09:49:01Z</dcterms:modified>
</cp:coreProperties>
</file>